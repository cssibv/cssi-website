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zumat executiv" sheetId="1" state="visible" r:id="rId3"/>
    <sheet name="Competitori" sheetId="2" state="visible" r:id="rId4"/>
    <sheet name="Cuvinte-cheie" sheetId="3" state="visible" r:id="rId5"/>
    <sheet name="Cluster-uri" sheetId="4" state="visible" r:id="rId6"/>
    <sheet name="Calendar editorial" sheetId="5" state="visible" r:id="rId7"/>
    <sheet name="SEO Tehnic" sheetId="6" state="visible" r:id="rId8"/>
    <sheet name="Audit &amp; îmbunătățiri" sheetId="7" state="visible" r:id="rId9"/>
    <sheet name="Grupuri Facebook" sheetId="8" state="visible" r:id="rId10"/>
    <sheet name="Calendar social media" sheetId="9" state="visible" r:id="rId11"/>
    <sheet name="Template-uri postări" sheetId="10" state="visible" r:id="rId12"/>
    <sheet name="Alte canale" sheetId="11" state="visible" r:id="rId13"/>
    <sheet name="Community playbook" sheetId="12" state="visible" r:id="rId14"/>
    <sheet name="KPI &amp; măsurare" sheetId="13" state="visible" r:id="rId15"/>
    <sheet name="Plan 90 zile"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<sst xmlns="http://schemas.openxmlformats.org/spreadsheetml/2006/main" count="2346" uniqueCount="1534">
  <si>
    <t xml:space="preserve">CSSI Brașov — Strategie de conținut &amp; calendar editorial</t>
  </si>
  <si>
    <t xml:space="preserve">Analiză site, piață, competitori + calendar SEO 6 luni (52 articole)</t>
  </si>
  <si>
    <t xml:space="preserve">CONTEXT</t>
  </si>
  <si>
    <t xml:space="preserve">Client</t>
  </si>
  <si>
    <t xml:space="preserve">CSSI Brașov (cssi.ro) — 20+ ani experiență, 8.700+ proiecte</t>
  </si>
  <si>
    <t xml:space="preserve">Verticale</t>
  </si>
  <si>
    <t xml:space="preserve">Securitate (alarme, CCTV, control acces), detecție incendiu ISU, automatizări, instalații electrice/HVAC, pontaj</t>
  </si>
  <si>
    <t xml:space="preserve">Arie geografică</t>
  </si>
  <si>
    <t xml:space="preserve">Brașov (focus principal) + Ploiești + național</t>
  </si>
  <si>
    <t xml:space="preserve">Audiență</t>
  </si>
  <si>
    <t xml:space="preserve">B2B (firme, hoteluri, clinici, depozite, fabrici) + B2C (proprietari locuințe)</t>
  </si>
  <si>
    <t xml:space="preserve">Blog actual</t>
  </si>
  <si>
    <t xml:space="preserve">17 articole publicate (ghiduri core: alarmă, CCTV, detecție incendiu, automatizări, ventilație)</t>
  </si>
  <si>
    <t xml:space="preserve">OBIECTIVE SEO</t>
  </si>
  <si>
    <t xml:space="preserve">Traffic organic</t>
  </si>
  <si>
    <t xml:space="preserve">+120% în 6 luni (focus keywords comerciale + locale)</t>
  </si>
  <si>
    <t xml:space="preserve">Leads calificați</t>
  </si>
  <si>
    <t xml:space="preserve">+40-60 cereri ofertă/lună din blog</t>
  </si>
  <si>
    <t xml:space="preserve">Ranking local</t>
  </si>
  <si>
    <t xml:space="preserve">Top 3 Brașov pentru: "firma securitate Brașov", "alarmă antiefracție Brașov", "camere supraveghere Brașov"</t>
  </si>
  <si>
    <t xml:space="preserve">Poziționare expert</t>
  </si>
  <si>
    <t xml:space="preserve">Autoritate pe ISU, GDPR CCTV și integrări multi-sistem</t>
  </si>
  <si>
    <t xml:space="preserve">STRATEGIE DE CONȚINUT</t>
  </si>
  <si>
    <t xml:space="preserve">Cadență</t>
  </si>
  <si>
    <t xml:space="preserve">2 articole/săptămână (luni + joi), 52 articole în 26 săptămâni</t>
  </si>
  <si>
    <t xml:space="preserve">Lungime medie</t>
  </si>
  <si>
    <t xml:space="preserve">1.800-2.500 cuvinte (ghiduri), 1.200-1.500 (comparații), 900-1.200 (știri/tips)</t>
  </si>
  <si>
    <t xml:space="preserve">Cluster-uri tematice</t>
  </si>
  <si>
    <t xml:space="preserve">10 clustere (vezi sheet "Cluster-uri"): fiecare are 4-7 articole satelit care linkează la pagina-pilon de serviciu</t>
  </si>
  <si>
    <t xml:space="preserve">Distribuție intent</t>
  </si>
  <si>
    <t xml:space="preserve">40% informațional (ghiduri) • 35% comercial (prețuri, oferte, comparații) • 25% local + vertical (Brașov, hoteluri, clinici, depozite)</t>
  </si>
  <si>
    <t xml:space="preserve">Format recomandat</t>
  </si>
  <si>
    <t xml:space="preserve">H1 cu keyword principal + număr/an • introducere cu USP • tabel sumar • H2/H3 scanabile • FAQ schema • CTA "Cere ofertă" după fiecare 600 cuvinte • link către serviciul părinte</t>
  </si>
  <si>
    <t xml:space="preserve">CÂȘTIGURI RAPIDE (Quick Wins)</t>
  </si>
  <si>
    <t xml:space="preserve">1</t>
  </si>
  <si>
    <t xml:space="preserve">Adaugă LocalBusiness schema pe toate paginile — boost vizibil pe SERP Brașov</t>
  </si>
  <si>
    <t xml:space="preserve">2</t>
  </si>
  <si>
    <t xml:space="preserve">Optimizează meta-description pe cele 17 articole existente la 150-160 caractere cu CTA</t>
  </si>
  <si>
    <t xml:space="preserve">3</t>
  </si>
  <si>
    <t xml:space="preserve">Adaugă FAQ schema pe cele 17 ghiduri existente (câștig 10-15% CTR rapid)</t>
  </si>
  <si>
    <t xml:space="preserve">4</t>
  </si>
  <si>
    <t xml:space="preserve">Publică primele 4 articole locale Brașov în S1-S2 (volum mic dar conversie mare)</t>
  </si>
  <si>
    <t xml:space="preserve">5</t>
  </si>
  <si>
    <t xml:space="preserve">Internal linking: fiecare articol nou trebuie să linkeze 2-3 articole existente + pagina de serviciu</t>
  </si>
  <si>
    <t xml:space="preserve">STRUCTURĂ LIVRABIL</t>
  </si>
  <si>
    <t xml:space="preserve">Sheet 1</t>
  </si>
  <si>
    <t xml:space="preserve">Rezumat executiv (aici)</t>
  </si>
  <si>
    <t xml:space="preserve">Sheet 2</t>
  </si>
  <si>
    <t xml:space="preserve">Analiză competitori — poziționare, gap-uri, oportunități</t>
  </si>
  <si>
    <t xml:space="preserve">Sheet 3</t>
  </si>
  <si>
    <t xml:space="preserve">Cercetare cuvinte-cheie — 40+ keywords cu volum estimat și intent</t>
  </si>
  <si>
    <t xml:space="preserve">Sheet 4</t>
  </si>
  <si>
    <t xml:space="preserve">Cluster-uri tematice — pillar + cluster model</t>
  </si>
  <si>
    <t xml:space="preserve">Sheet 5</t>
  </si>
  <si>
    <t xml:space="preserve">CALENDAR EDITORIAL — 52 articole, săptămână cu săptămână</t>
  </si>
  <si>
    <t xml:space="preserve">Sheet 6</t>
  </si>
  <si>
    <t xml:space="preserve">Recomandări SEO tehnic — checklist optimizare</t>
  </si>
  <si>
    <t xml:space="preserve">ACTUALIZARE V2 — STRATEGIE ORGANICĂ COMPLETĂ</t>
  </si>
  <si>
    <t xml:space="preserve">Audit realizat</t>
  </si>
  <si>
    <t xml:space="preserve">8 probleme majore identificate în v1 — intent dezechilibrat, zero pagini oraș, zero seasonality, sinergia grupului neexploatată, zero lead magnets, micro-geo zero, funnel unidimensional, zero distribuție social</t>
  </si>
  <si>
    <t xml:space="preserve">Sheet nou: Audit &amp; îmbunătățiri</t>
  </si>
  <si>
    <t xml:space="preserve">Diagnoza completă + 8 recalibrări concrete față de v1</t>
  </si>
  <si>
    <t xml:space="preserve">Sheet nou: Grupuri Facebook</t>
  </si>
  <si>
    <t xml:space="preserve">30 grupuri Brașov + 50 km cu fit/frecvență/unghi conținut/prioritate</t>
  </si>
  <si>
    <t xml:space="preserve">Sheet nou: Calendar social media</t>
  </si>
  <si>
    <t xml:space="preserve">26 săptămâni × 7 posturi/săpt. coordonate cu calendar blog</t>
  </si>
  <si>
    <t xml:space="preserve">Sheet nou: Template-uri postări</t>
  </si>
  <si>
    <t xml:space="preserve">12 template-uri gata de adaptat (alertă cartier, mit, before/after, testimonial, seasonal, cross-brand etc.)</t>
  </si>
  <si>
    <t xml:space="preserve">Sheet nou: Alte canale</t>
  </si>
  <si>
    <t xml:space="preserve">Strategie per canal: FB pagină, IG, TikTok, YouTube + Shorts, LinkedIn, GBP, newsletter, WhatsApp</t>
  </si>
  <si>
    <t xml:space="preserve">Sheet nou: Community playbook</t>
  </si>
  <si>
    <t xml:space="preserve">13 reguli de joc grupuri FB + 6 nuanțe culturale Brașov</t>
  </si>
  <si>
    <t xml:space="preserve">Sheet nou: KPI &amp; măsurare</t>
  </si>
  <si>
    <t xml:space="preserve">23 metrici cu baseline + țintă luna 6 + 14 unelte recomandate (7 gratuite)</t>
  </si>
  <si>
    <t xml:space="preserve">Sheet nou: Plan 90 zile</t>
  </si>
  <si>
    <t xml:space="preserve">Roadmap săpt. cu săpt., task-uri concrete, responsabili, livrabile</t>
  </si>
  <si>
    <t xml:space="preserve">Țintă luna 6</t>
  </si>
  <si>
    <t xml:space="preserve">8.000 sesiuni organice/lună • 40.000 reach organic FB • 15-25 lead-uri calificate/lună din social • 80+ review Google noi • 800 email subscribers</t>
  </si>
  <si>
    <t xml:space="preserve">Competitori locali — Brașov + rază 50 km</t>
  </si>
  <si>
    <t xml:space="preserve">Acoperire: Brașov oraș, Codlea, Săcele, Râșnov, Predeal, Zărnești, Bran, Prejmer, Hărman, Victoria, Făgăraș (parțial)</t>
  </si>
  <si>
    <t xml:space="preserve">GRUPUL NOSTRU (NU sunt competitori — sunt aliați interni)</t>
  </si>
  <si>
    <t xml:space="preserve">Brand</t>
  </si>
  <si>
    <t xml:space="preserve">Website</t>
  </si>
  <si>
    <t xml:space="preserve">Rol în grup</t>
  </si>
  <si>
    <t xml:space="preserve">Acoperire</t>
  </si>
  <si>
    <t xml:space="preserve">Specializare</t>
  </si>
  <si>
    <t xml:space="preserve">Sinergie de conținut</t>
  </si>
  <si>
    <t xml:space="preserve">Oportunitate cross-linking</t>
  </si>
  <si>
    <t xml:space="preserve">CSSI</t>
  </si>
  <si>
    <t xml:space="preserve">cssi.ro</t>
  </si>
  <si>
    <t xml:space="preserve">Integrator sisteme securitate, instalații complete</t>
  </si>
  <si>
    <t xml:space="preserve">Brașov + rază + național pe proiecte mari</t>
  </si>
  <si>
    <t xml:space="preserve">Alarme, CCTV, ISU, control acces, pontaj, automatizări, electrice, HVAC</t>
  </si>
  <si>
    <t xml:space="preserve">Hub central (blog + studii de caz + ghiduri locale)</t>
  </si>
  <si>
    <t xml:space="preserve">Primește linkuri de la Shop Security (blog, ghiduri) și Breaksystems (studii caz industriale)</t>
  </si>
  <si>
    <t xml:space="preserve">Shop Security</t>
  </si>
  <si>
    <t xml:space="preserve">shop-security.ro</t>
  </si>
  <si>
    <t xml:space="preserve">Distribuție echipamente + vânzări online</t>
  </si>
  <si>
    <t xml:space="preserve">Național (e-commerce)</t>
  </si>
  <si>
    <t xml:space="preserve">Catalog produse: camere, alarme, interfoane, automatizări</t>
  </si>
  <si>
    <t xml:space="preserve">Conținut transactional / pagini produs; fișe tehnice; review-uri produse</t>
  </si>
  <si>
    <t xml:space="preserve">CSSI trimite trafic pentru "cumpără produs" → shop-security. Shop Security linkează la ghiduri CSSI pentru decizia de alegere</t>
  </si>
  <si>
    <t xml:space="preserve">Breaksystems</t>
  </si>
  <si>
    <t xml:space="preserve">breaksystems.ro</t>
  </si>
  <si>
    <t xml:space="preserve">Montaje în restul țării</t>
  </si>
  <si>
    <t xml:space="preserve">Național, preponderent zona fără acoperire CSSI directă</t>
  </si>
  <si>
    <t xml:space="preserve">Detecție incendiu ISU + detecție oxigen / gaze industriale</t>
  </si>
  <si>
    <t xml:space="preserve">Conținut B2B industrial specializat (detecție oxigen, atmosfere explozive, ATEX)</t>
  </si>
  <si>
    <t xml:space="preserve">Breaksystems găzduiește articole tehnice adânci pe detecție gaze; CSSI linkează pentru "montaj în afara Brașovului"</t>
  </si>
  <si>
    <t xml:space="preserve">STRATEGIE GRUP — content &amp; SEO</t>
  </si>
  <si>
    <t xml:space="preserve">Arhitectură ierarhică</t>
  </si>
  <si>
    <t xml:space="preserve">CSSI.ro = hub editorial (ghiduri educaționale + local Brașov). Shop-Security.ro = pagini produs / transactional. Breaksystems.ro = conținut industrial specializat (detecție oxigen, ATEX, incendiu industrial). Fiecare domeniu se focalizează pe alt intent → fără canibalizare</t>
  </si>
  <si>
    <t xml:space="preserve">Cross-linking strategic</t>
  </si>
  <si>
    <t xml:space="preserve">De pe CSSI blog: „vezi echipamentul la Shop-Security" (linkuri comerciale, anchor-text brand). De pe Shop-Security pagini produs: „ghid complet la CSSI" (linkuri educaționale). De pe Breaksystems: „integrare cu alte sisteme la CSSI". Păstrează linkurile NATURALE (max 2-3 per pagină), marchează cu rel="dofollow" (sunt site-uri diferite din același grup — transmit authority)</t>
  </si>
  <si>
    <t xml:space="preserve">Evită canibalizarea keywords</t>
  </si>
  <si>
    <t xml:space="preserve">CSSI prinde keywords informaționale + locale Brașov + bundle integrator. Shop-Security prinde keywords de produs + preț + model (ex: "Hikvision DS-2CD2143G2"). Breaksystems prinde keywords industriale specifice (detecție oxigen, ATEX, sprinklere hală). Niciun keyword P0 să nu se suprapună între domenii</t>
  </si>
  <si>
    <t xml:space="preserve">Articol comun cu 3 variante</t>
  </si>
  <si>
    <t xml:space="preserve">Pentru subiecte care acoperă toate 3 verticale (ex: „detecție incendiu hală industrială"), publică versiuni diferite pe fiecare site: CSSI (perspectivă locală Brașov + integrare), Breaksystems (adâncime tehnică ATEX + oxigen), Shop-Security (produse + prețuri). Canonicalul rămâne la site-ul dominant pe acel intent</t>
  </si>
  <si>
    <t xml:space="preserve">Articole noi sugerate pentru Breaksystems</t>
  </si>
  <si>
    <t xml:space="preserve">Completează calendarul CSSI cu articole tehnice industriale pe Breaksystems: „Detecție oxigen în spații confinate", „Senzori gaz metan industriali", „Sprinklere cu pulbere pentru atmosfere explozive", „Aviz ISU hală ATEX". CSSI linkează la ele când subiectul depășește scope-ul local</t>
  </si>
  <si>
    <t xml:space="preserve">Google Business Profile separate</t>
  </si>
  <si>
    <t xml:space="preserve">Fiecare brand cu propriul GBP, categorii și adrese diferite. CSSI = „Security System Supplier Brașov", Shop Security = „Electronics Store online", Breaksystems = „Fire Protection Equipment Supplier". Evită diluarea semnalelor locale</t>
  </si>
  <si>
    <t xml:space="preserve">COMPETITORI REALI — Brașov + 50 km</t>
  </si>
  <si>
    <t xml:space="preserve">Firmă</t>
  </si>
  <si>
    <t xml:space="preserve">Locație</t>
  </si>
  <si>
    <t xml:space="preserve">Servicii principale</t>
  </si>
  <si>
    <t xml:space="preserve">Mărime</t>
  </si>
  <si>
    <t xml:space="preserve">Tip</t>
  </si>
  <si>
    <t xml:space="preserve">Puncte tari</t>
  </si>
  <si>
    <t xml:space="preserve">Puncte slabe / Gap pt. CSSI</t>
  </si>
  <si>
    <t xml:space="preserve">USE Systems SRL</t>
  </si>
  <si>
    <t xml:space="preserve">usesystems.ro</t>
  </si>
  <si>
    <t xml:space="preserve">Brașov, Str. De Mijloc 146A</t>
  </si>
  <si>
    <t xml:space="preserve">Alarme, CCTV, control acces, pontaj, detecție incendiu ISU, interfoane, instalații electrice</t>
  </si>
  <si>
    <t xml:space="preserve">Mediu</t>
  </si>
  <si>
    <t xml:space="preserve">Integrator</t>
  </si>
  <si>
    <t xml:space="preserve">Activ din 2008, autorizat ISU, portofoliu civil + industrial + instituțional, acoperire națională</t>
  </si>
  <si>
    <t xml:space="preserve">Website învechit, fără prețuri publice, CTA slab. CSSI câștigă prin UX modern + calculator ofertă + transparență</t>
  </si>
  <si>
    <t xml:space="preserve">LINX SRL</t>
  </si>
  <si>
    <t xml:space="preserve">linx.ro</t>
  </si>
  <si>
    <t xml:space="preserve">Brașov, Str. Sitei 55</t>
  </si>
  <si>
    <t xml:space="preserve">Alarme, CCTV IP, detecție incendiu, control acces, automatizări</t>
  </si>
  <si>
    <t xml:space="preserve">Mic</t>
  </si>
  <si>
    <t xml:space="preserve">33+ ani experiență, reviews pozitive, portofoliu mixt (rezidențial + comercial)</t>
  </si>
  <si>
    <t xml:space="preserve">Design site foarte vechi, fără conținut educațional / blog. CSSI ocupă SERP-ul prin conținut SEO</t>
  </si>
  <si>
    <t xml:space="preserve">Alarme Brașov</t>
  </si>
  <si>
    <t xml:space="preserve">alarmebrasov.ro</t>
  </si>
  <si>
    <t xml:space="preserve">Brașov</t>
  </si>
  <si>
    <t xml:space="preserve">Alarme interior/exterior, CCTV rezidențial + comercial + industrial</t>
  </si>
  <si>
    <t xml:space="preserve">Alarme</t>
  </si>
  <si>
    <t xml:space="preserve">31 ani prezență locală, poziționare preț accesibil</t>
  </si>
  <si>
    <t xml:space="preserve">Website de bază, marketing digital minim, fără ghiduri. Brand ancorat în „ieftin" — CSSI ia premium</t>
  </si>
  <si>
    <t xml:space="preserve">RG Design</t>
  </si>
  <si>
    <t xml:space="preserve">rgdesign.ro</t>
  </si>
  <si>
    <t xml:space="preserve">Brașov, Str. Zizinului 110</t>
  </si>
  <si>
    <t xml:space="preserve">Automatizări porți, bariere, control acces, uși garaj (distribuitor NICE)</t>
  </si>
  <si>
    <t xml:space="preserve">Automatizări</t>
  </si>
  <si>
    <t xml:space="preserve">Distribuitor oficial NICE, focus pe instalare + service</t>
  </si>
  <si>
    <t xml:space="preserve">Nu oferă alarme/CCTV/detecție incendiu. CSSI atrage clientul cu bundle complet</t>
  </si>
  <si>
    <t xml:space="preserve">IGF Grup SRL</t>
  </si>
  <si>
    <t xml:space="preserve">igfgrup.ro</t>
  </si>
  <si>
    <t xml:space="preserve">Brașov, Str. Zizinului 119</t>
  </si>
  <si>
    <t xml:space="preserve">Bariere, automatizare porți, control acces, instalații curenți slabi</t>
  </si>
  <si>
    <t xml:space="preserve">Expertiză curenți slabi, automatizări industriale</t>
  </si>
  <si>
    <t xml:space="preserve">Fără CCTV, alarme, detecție incendiu, interfoane. Gamă îngustă — CSSI este singurul one-stop</t>
  </si>
  <si>
    <t xml:space="preserve">Supraveghere-Brașov</t>
  </si>
  <si>
    <t xml:space="preserve">supraveghere-brasov.ro</t>
  </si>
  <si>
    <t xml:space="preserve">CCTV Dahua, Hikvision, Tapo; DVR/NVR, video industrial</t>
  </si>
  <si>
    <t xml:space="preserve">Micro</t>
  </si>
  <si>
    <t xml:space="preserve">CCTV</t>
  </si>
  <si>
    <t xml:space="preserve">Preț de start 299 RON, suport 24/7 advertised</t>
  </si>
  <si>
    <t xml:space="preserve">Doar CCTV, fără integrare alarmă/control acces/ISU. Buget-poziționat; CSSI ia segment profesional</t>
  </si>
  <si>
    <t xml:space="preserve">Supraveghere Video Brașov</t>
  </si>
  <si>
    <t xml:space="preserve">supraveghere-video-brasov.ro</t>
  </si>
  <si>
    <t xml:space="preserve">Camere IP, NVR, soluții solare + SIM, smart CCTV</t>
  </si>
  <si>
    <t xml:space="preserve">Soluții moderne solar/4G pentru locații fără curent</t>
  </si>
  <si>
    <t xml:space="preserve">Camere-only, fără detecție incendiu / acces / pontaj. CSSI câștigă clienții B2B care cer integrare</t>
  </si>
  <si>
    <t xml:space="preserve">Interfon Electra Brașov</t>
  </si>
  <si>
    <t xml:space="preserve">interfonelectrabrasov.ro</t>
  </si>
  <si>
    <t xml:space="preserve">Interfoane și videointerfoane Electra — montaj, programare, service</t>
  </si>
  <si>
    <t xml:space="preserve">Interfoane</t>
  </si>
  <si>
    <t xml:space="preserve">Specialist mono-brand (Electra), service rapid pe interfoane bloc</t>
  </si>
  <si>
    <t xml:space="preserve">Doar interfoane. CSSI preia clienții care vor și acces + CCTV + pontaj pe aceeași instalație</t>
  </si>
  <si>
    <t xml:space="preserve">EQ Systems SRL</t>
  </si>
  <si>
    <t xml:space="preserve">eq-systems.ro</t>
  </si>
  <si>
    <t xml:space="preserve">Alarme, instalare, service, mentenanță</t>
  </si>
  <si>
    <t xml:space="preserve">Licențiat, focus local</t>
  </si>
  <si>
    <t xml:space="preserve">Prezență digitală foarte slabă, gamă restrânsă. CSSI captează clienții prin SEO + recomandări online</t>
  </si>
  <si>
    <t xml:space="preserve">Oritex SRL</t>
  </si>
  <si>
    <t xml:space="preserve">n/a</t>
  </si>
  <si>
    <t xml:space="preserve">Codlea, Str. Horia 44</t>
  </si>
  <si>
    <t xml:space="preserve">Uși garaj, automatizare porți, bariere, sisteme parcare</t>
  </si>
  <si>
    <t xml:space="preserve">Prezență în Codlea — singura firmă locală din acest sub-oraș</t>
  </si>
  <si>
    <t xml:space="preserve">Doar automatizări, fără site modern. CSSI deschide paginile locale Codlea + Săcele + Râșnov</t>
  </si>
  <si>
    <t xml:space="preserve">Anco Polar</t>
  </si>
  <si>
    <t xml:space="preserve">ancopolar.ro</t>
  </si>
  <si>
    <t xml:space="preserve">Brașov, Calea Feldioarei 27A</t>
  </si>
  <si>
    <t xml:space="preserve">HVAC, aer condiționat, ventilație, frigorifice (nu face securitate)</t>
  </si>
  <si>
    <t xml:space="preserve">HVAC</t>
  </si>
  <si>
    <t xml:space="preserve">Expertiză HVAC solidă, consultanță și mentenanță</t>
  </si>
  <si>
    <t xml:space="preserve">Zero suprapunere securitate; relevant doar ca concurent pe HVAC. CSSI vinde HVAC ca parte din bundle</t>
  </si>
  <si>
    <t xml:space="preserve">Total competitori reali</t>
  </si>
  <si>
    <t xml:space="preserve">Integratori (amenințare directă)</t>
  </si>
  <si>
    <t xml:space="preserve">Specialiști nișă (ușor de învins pe bundle)</t>
  </si>
  <si>
    <t xml:space="preserve">OBSERVAȚII PIAȚA LOCALĂ BRAȘOV + 50 KM</t>
  </si>
  <si>
    <t xml:space="preserve">Piață fragmentată</t>
  </si>
  <si>
    <t xml:space="preserve">11 firme competitoare active, majoritatea micro/mici, specializate pe un singur vertical. Doar 2 competitori încearcă integrare reală (USE Systems, LINX)</t>
  </si>
  <si>
    <t xml:space="preserve">Prezență digitală slabă</t>
  </si>
  <si>
    <t xml:space="preserve">Majoritatea au site-uri vechi, fără blog, fără prețuri, fără schema markup. Google Business Profile-uri incomplete. GAP URIAȘ pentru grupul CSSI</t>
  </si>
  <si>
    <t xml:space="preserve">Niciun competitor cu bundle complet</t>
  </si>
  <si>
    <t xml:space="preserve">Niciun competitor local nu acoperă simultan alarme + CCTV + ISU + control acces + pontaj + automatizări + interfoane + electrice + HVAC. Grupul CSSI + Breaksystems + Shop Security are acoperire totală</t>
  </si>
  <si>
    <t xml:space="preserve">Avantaj grup (CSSI + Shop Security + Breaksystems)</t>
  </si>
  <si>
    <t xml:space="preserve">Competitorii trebuie să aleagă: fie vinzi, fie montezi, fie distribui. Grupul nostru face toate trei + are conținut pe 3 domenii diferite — multiplicator SEO 3x la același efort</t>
  </si>
  <si>
    <t xml:space="preserve">ISU slab valorificat de concurență</t>
  </si>
  <si>
    <t xml:space="preserve">2-3 firme au autorizare ISU dar niciuna nu o comunică. Breaksystems poate domina SERP-ul industrial ISU + detecție oxigen (nișă aproape goală în RO)</t>
  </si>
  <si>
    <t xml:space="preserve">Oraș-centric</t>
  </si>
  <si>
    <t xml:space="preserve">Concurenții deservesc aproape exclusiv Brașov oraș. Codlea/Săcele/Râșnov/Predeal/Zărnești/Bran = subservite → pagini locale dedicate pe CSSI</t>
  </si>
  <si>
    <t xml:space="preserve">GAP-URI EXPLOATABILE — tactici de dominare locală</t>
  </si>
  <si>
    <t xml:space="preserve">Bundle integrator unic</t>
  </si>
  <si>
    <t xml:space="preserve">Grupul nostru este singurul care combină 10+ servicii sub 3 branduri coordonate. Poziționare CSSI: „Un singur partener pentru toată securitatea + infrastructura ta"</t>
  </si>
  <si>
    <t xml:space="preserve">Vertical auto Bosch/Schaeffler</t>
  </si>
  <si>
    <t xml:space="preserve">Clusterul auto Brașov (Bosch, Schaeffler, Continental + 100+ furnizori IMM) are nevoie de ISU industrial + CCTV perimetral + control acces + pontaj. Niciun competitor local nu vinde această combinație — iar Breaksystems adaugă detecție oxigen/gaze pentru linii de producție cu procese chimice</t>
  </si>
  <si>
    <t xml:space="preserve">Vertical hoteluri Poiana Brașov &amp; pensiuni Bran</t>
  </si>
  <si>
    <t xml:space="preserve">Ana Hotels, Swissotel, Rixos + zeci de pensiuni Bran/Predeal au nevoie de RFID camere + bariere parcare + CCTV holuri + pontaj + HVAC integrat. Niciun competitor local nu propune bundle hospitality</t>
  </si>
  <si>
    <t xml:space="preserve">Vertical clinici private &amp; cabinete</t>
  </si>
  <si>
    <t xml:space="preserve">Medlife, Regina Maria, Unirea + cabinete mijlocii cer ISU + GDPR CCTV + control acces. Breaksystems poate adăuga detecție oxigen pentru rezervoarele medicale + ATI</t>
  </si>
  <si>
    <t xml:space="preserve">Coresi Business Park &amp; clădiri birouri</t>
  </si>
  <si>
    <t xml:space="preserve">Control acces multi-tenant + CCTV + pontaj + videointerfoane. Proiecte integrate mari cu ofertă grup</t>
  </si>
  <si>
    <t xml:space="preserve">Extindere geografică 50 km</t>
  </si>
  <si>
    <t xml:space="preserve">Pagini locale pentru: Codlea, Săcele, Râșnov, Predeal, Zărnești, Bran, Prejmer, Hărman, Victoria, Făgăraș. Singurul competitor prezent activ: Oritex (Codlea, doar automatizări)</t>
  </si>
  <si>
    <t xml:space="preserve">Domină Google Business Profile</t>
  </si>
  <si>
    <t xml:space="preserve">Competitorii au GBP cu sub 20 review-uri. CSSI (+GBP separat Shop Security + Breaksystems) poate captura 3 GBP-uri cu peste 50 review-uri fiecare în 3 luni</t>
  </si>
  <si>
    <t xml:space="preserve">Model abonament „CSSI Care"</t>
  </si>
  <si>
    <t xml:space="preserve">Toți competitorii vând proiecte one-off. Grupul nostru poate lansa pachet lunar (mentenanță + monitorizare + intervenții + update) cu MRR predictibil</t>
  </si>
  <si>
    <t xml:space="preserve">Nișă detecție oxigen/gaze industriale</t>
  </si>
  <si>
    <t xml:space="preserve">Breaksystems operează pe o nișă practic fără competitori locali Brașov: detecție O2, metan, CO2, ATEX. SEO aproape gol în RO pentru aceste keywords industriale</t>
  </si>
  <si>
    <t xml:space="preserve">PLAN DE ATAC (ordine recomandată, 6 luni)</t>
  </si>
  <si>
    <t xml:space="preserve">Luna 1</t>
  </si>
  <si>
    <t xml:space="preserve">CSSI: pagini locale Codlea + Săcele + Râșnov + Predeal; GBP optimizat; schema LocalBusiness. Shop Security: audit catalog + schema Product. Breaksystems: audit on-page detecție oxigen/ISU industrial</t>
  </si>
  <si>
    <t xml:space="preserve">Luna 2</t>
  </si>
  <si>
    <t xml:space="preserve">CSSI: landing „Soluții furnizori auto Brașov" + studiu de caz ISU. Breaksystems: articol pilon „detecție oxigen hală auto" + cross-link la CSSI. Shop Security: fișe tehnice produse ISU link-ate din ambele</t>
  </si>
  <si>
    <t xml:space="preserve">Luna 3</t>
  </si>
  <si>
    <t xml:space="preserve">CSSI: vertical hospitality Poiana Brașov + Bran. Breaksystems: detecție gaz bucătărie profesională (utilă hotelurilor). Shop Security: pachete produs HoReCa</t>
  </si>
  <si>
    <t xml:space="preserve">Luna 4</t>
  </si>
  <si>
    <t xml:space="preserve">CSSI: vertical medical (clinici) + GDPR CCTV + ISU cabinet. Breaksystems: detecție oxigen rezervoare ATI. Shop Security: detectoare medicale / alarme panică pacient</t>
  </si>
  <si>
    <t xml:space="preserve">Luna 5</t>
  </si>
  <si>
    <t xml:space="preserve">Lansare „CSSI Care" (abonament); migrare primii 20 clienți; campanie review-uri +50 pe fiecare GBP (CSSI, Shop Security, Breaksystems)</t>
  </si>
  <si>
    <t xml:space="preserve">Luna 6</t>
  </si>
  <si>
    <t xml:space="preserve">Extindere Zărnești + Bran + Făgăraș (pagini locale CSSI); Breaksystems lansează pilon „ATEX și atmosfere explozive"; Shop Security optimizează pagini produs top 20 cu recenzii structurate</t>
  </si>
  <si>
    <t xml:space="preserve">Cercetare cuvinte-cheie — 45 keywords prioritare</t>
  </si>
  <si>
    <t xml:space="preserve">Keyword</t>
  </si>
  <si>
    <t xml:space="preserve">Volum lunar est. (RO)</t>
  </si>
  <si>
    <t xml:space="preserve">Dificultate</t>
  </si>
  <si>
    <t xml:space="preserve">Intent</t>
  </si>
  <si>
    <t xml:space="preserve">Cluster</t>
  </si>
  <si>
    <t xml:space="preserve">Acoperit de CSSI?</t>
  </si>
  <si>
    <t xml:space="preserve">Prioritate</t>
  </si>
  <si>
    <t xml:space="preserve">alarma antiefractie pret</t>
  </si>
  <si>
    <t xml:space="preserve">Medie</t>
  </si>
  <si>
    <t xml:space="preserve">Comercial</t>
  </si>
  <si>
    <t xml:space="preserve">Securitate rezidențială</t>
  </si>
  <si>
    <t xml:space="preserve">Parțial</t>
  </si>
  <si>
    <t xml:space="preserve">P0</t>
  </si>
  <si>
    <t xml:space="preserve">camere supraveghere exterior</t>
  </si>
  <si>
    <t xml:space="preserve">Camere supraveghere</t>
  </si>
  <si>
    <t xml:space="preserve">firma securitate brasov</t>
  </si>
  <si>
    <t xml:space="preserve">Mică</t>
  </si>
  <si>
    <t xml:space="preserve">Local</t>
  </si>
  <si>
    <t xml:space="preserve">Local Brașov</t>
  </si>
  <si>
    <t xml:space="preserve">Nu</t>
  </si>
  <si>
    <t xml:space="preserve">sistem alarma casa pret 2026</t>
  </si>
  <si>
    <t xml:space="preserve">camera supraveghere brasov pret</t>
  </si>
  <si>
    <t xml:space="preserve">detectie incendiu isu pret</t>
  </si>
  <si>
    <t xml:space="preserve">Detecție incendiu ISU</t>
  </si>
  <si>
    <t xml:space="preserve">autorizare isu firma</t>
  </si>
  <si>
    <t xml:space="preserve">Informațional</t>
  </si>
  <si>
    <t xml:space="preserve">control acces biometric pret</t>
  </si>
  <si>
    <t xml:space="preserve">Control acces &amp; pontaj</t>
  </si>
  <si>
    <t xml:space="preserve">camere ip vs analog</t>
  </si>
  <si>
    <t xml:space="preserve">P1</t>
  </si>
  <si>
    <t xml:space="preserve">cum alegi camera supraveghere</t>
  </si>
  <si>
    <t xml:space="preserve">smart home brasov</t>
  </si>
  <si>
    <t xml:space="preserve">Smart Home &amp; IoT</t>
  </si>
  <si>
    <t xml:space="preserve">ajax vs hikvision</t>
  </si>
  <si>
    <t xml:space="preserve">alarma magazin pret</t>
  </si>
  <si>
    <t xml:space="preserve">Securitate business</t>
  </si>
  <si>
    <t xml:space="preserve">sistem securitate hotel</t>
  </si>
  <si>
    <t xml:space="preserve">Vertical specific</t>
  </si>
  <si>
    <t xml:space="preserve">sistem securitate depozit</t>
  </si>
  <si>
    <t xml:space="preserve">camere supraveghere clinica gdpr</t>
  </si>
  <si>
    <t xml:space="preserve">bariera parcare automata pret</t>
  </si>
  <si>
    <t xml:space="preserve">Automatizări &amp; acces</t>
  </si>
  <si>
    <t xml:space="preserve">automatizare poarta batanta pret</t>
  </si>
  <si>
    <t xml:space="preserve">poarta glisanta automata</t>
  </si>
  <si>
    <t xml:space="preserve">videointerfon ip wifi</t>
  </si>
  <si>
    <t xml:space="preserve">pontaj electronic firma mica</t>
  </si>
  <si>
    <t xml:space="preserve">aer conditionat inverter pret</t>
  </si>
  <si>
    <t xml:space="preserve">Mare</t>
  </si>
  <si>
    <t xml:space="preserve">Instalații &amp; HVAC</t>
  </si>
  <si>
    <t xml:space="preserve">P2</t>
  </si>
  <si>
    <t xml:space="preserve">ventilatie recuperare caldura pret</t>
  </si>
  <si>
    <t xml:space="preserve">instalatii electrice pret apartament</t>
  </si>
  <si>
    <t xml:space="preserve">senzor miscare alarma</t>
  </si>
  <si>
    <t xml:space="preserve">camera supraveghere cu detectie ai</t>
  </si>
  <si>
    <t xml:space="preserve">monitorizare alarma 24 7 pret</t>
  </si>
  <si>
    <t xml:space="preserve">gdpr camere supraveghere firma</t>
  </si>
  <si>
    <t xml:space="preserve">Da</t>
  </si>
  <si>
    <t xml:space="preserve">usa garaj automata pret</t>
  </si>
  <si>
    <t xml:space="preserve">control acces cladire birouri</t>
  </si>
  <si>
    <t xml:space="preserve">proiect securitate avizat isu</t>
  </si>
  <si>
    <t xml:space="preserve">sprinklere incendiu hala</t>
  </si>
  <si>
    <t xml:space="preserve">camera supraveghere 4k vs 1080p</t>
  </si>
  <si>
    <t xml:space="preserve">alarma cu sim card vs wifi</t>
  </si>
  <si>
    <t xml:space="preserve">kit supraveghere magazin 4 camere</t>
  </si>
  <si>
    <t xml:space="preserve">reparatie camere supraveghere brasov</t>
  </si>
  <si>
    <t xml:space="preserve">service alarma brasov</t>
  </si>
  <si>
    <t xml:space="preserve">sonorizare restaurant pret</t>
  </si>
  <si>
    <t xml:space="preserve">sonorizare biserica</t>
  </si>
  <si>
    <t xml:space="preserve">automatizare poarta solara</t>
  </si>
  <si>
    <t xml:space="preserve">integrare alexa google home securitate</t>
  </si>
  <si>
    <t xml:space="preserve">matter protocol smart home ro</t>
  </si>
  <si>
    <t xml:space="preserve">camera supraveghere cu baterie solara</t>
  </si>
  <si>
    <t xml:space="preserve">sistem integrat securitate fabrica</t>
  </si>
  <si>
    <t xml:space="preserve">gdpr video citire placute auto</t>
  </si>
  <si>
    <t xml:space="preserve">Total keywords</t>
  </si>
  <si>
    <t xml:space="preserve">Volum lunar total est.</t>
  </si>
  <si>
    <t xml:space="preserve">P0 (prioritate max)</t>
  </si>
  <si>
    <t xml:space="preserve">Arhitectura de conținut — Pillar &amp; Cluster</t>
  </si>
  <si>
    <t xml:space="preserve">Cluster tematic</t>
  </si>
  <si>
    <t xml:space="preserve">Pagină-pilon (serviciu)</t>
  </si>
  <si>
    <t xml:space="preserve">Keyword primar pilon</t>
  </si>
  <si>
    <t xml:space="preserve"># articole planificate</t>
  </si>
  <si>
    <t xml:space="preserve">/alarma-antiefractie.html</t>
  </si>
  <si>
    <t xml:space="preserve">alarma antiefractie</t>
  </si>
  <si>
    <t xml:space="preserve">/alarma-antiefractie-brasov.html + /servicii.html</t>
  </si>
  <si>
    <t xml:space="preserve">sistem alarma firma</t>
  </si>
  <si>
    <t xml:space="preserve">/detectie-incendiu-isu.html</t>
  </si>
  <si>
    <t xml:space="preserve">detectie incendiu isu</t>
  </si>
  <si>
    <t xml:space="preserve">/camere-supraveghere.html</t>
  </si>
  <si>
    <t xml:space="preserve">camere supraveghere</t>
  </si>
  <si>
    <t xml:space="preserve">/control-acces.html + /pontaj-electronic.html</t>
  </si>
  <si>
    <t xml:space="preserve">control acces</t>
  </si>
  <si>
    <t xml:space="preserve">/automatizari-porti.html + /bariere-auto.html</t>
  </si>
  <si>
    <t xml:space="preserve">automatizare poarta</t>
  </si>
  <si>
    <t xml:space="preserve">/servicii.html (nou: /smart-home.html)</t>
  </si>
  <si>
    <t xml:space="preserve">smart home</t>
  </si>
  <si>
    <t xml:space="preserve">/aer-conditionat.html + /ventilatie.html</t>
  </si>
  <si>
    <t xml:space="preserve">aer conditionat</t>
  </si>
  <si>
    <t xml:space="preserve">/sistem-integrat-securitate-brasov.html</t>
  </si>
  <si>
    <t xml:space="preserve">/servicii.html (landing-uri dedicate)</t>
  </si>
  <si>
    <t xml:space="preserve">sistem securitate [vertical]</t>
  </si>
  <si>
    <t xml:space="preserve">TOTAL</t>
  </si>
  <si>
    <t xml:space="preserve">REGULI DE INTERNAL LINKING</t>
  </si>
  <si>
    <t xml:space="preserve">Fiecare articol-satelit linkează OBLIGATORIU la pagina-pilon (serviciu) cu anchor-text varied (nu mereu același)</t>
  </si>
  <si>
    <t xml:space="preserve">Articolul-pilon (serviciul) linkează la TOATE articolele din cluster-ul său în secțiunea "Ghiduri utile"</t>
  </si>
  <si>
    <t xml:space="preserve">Între articole din același cluster: 2-3 linkuri contextuale ("Află și despre [X]")</t>
  </si>
  <si>
    <t xml:space="preserve">Din clustere diferite: doar dacă există relație semantică (ex: camere ↔ control acces ↔ pontaj)</t>
  </si>
  <si>
    <t xml:space="preserve">Anchor-text: 60% keyword-rich, 30% semantic variation, 10% brand ("vezi la CSSI")</t>
  </si>
  <si>
    <t xml:space="preserve">Calendar editorial — 52 articole × 26 săptămâni (Mai 2026 – Oct 2026)</t>
  </si>
  <si>
    <t xml:space="preserve">#</t>
  </si>
  <si>
    <t xml:space="preserve">Săpt.</t>
  </si>
  <si>
    <t xml:space="preserve">Data publicare</t>
  </si>
  <si>
    <t xml:space="preserve">Zi</t>
  </si>
  <si>
    <t xml:space="preserve">Titlu articol (H1 / Title tag)</t>
  </si>
  <si>
    <t xml:space="preserve">URL slug</t>
  </si>
  <si>
    <t xml:space="preserve">Meta description (150-160 car.)</t>
  </si>
  <si>
    <t xml:space="preserve">Keyword principal</t>
  </si>
  <si>
    <t xml:space="preserve">Keywords secundare</t>
  </si>
  <si>
    <t xml:space="preserve">Lungime</t>
  </si>
  <si>
    <t xml:space="preserve">CTA principal</t>
  </si>
  <si>
    <t xml:space="preserve">Linkuri interne sugerate</t>
  </si>
  <si>
    <t xml:space="preserve">S1</t>
  </si>
  <si>
    <t xml:space="preserve">luni</t>
  </si>
  <si>
    <t xml:space="preserve">Firmă securitate Brașov: cum alegi instalatorul potrivit în 2026</t>
  </si>
  <si>
    <t xml:space="preserve">firma-securitate-brasov-cum-alegi-2026</t>
  </si>
  <si>
    <t xml:space="preserve">Ghid complet pentru alegerea unei firme de securitate în Brașov. Criterii, licențe IGPR, ISU, exemple de proiecte reale. Cere ofertă gratuită →</t>
  </si>
  <si>
    <t xml:space="preserve">instalator alarme Brașov, licenta IGPR, sistem securitate Brașov</t>
  </si>
  <si>
    <t xml:space="preserve">1.800</t>
  </si>
  <si>
    <t xml:space="preserve">Cere ofertă 100% gratuită</t>
  </si>
  <si>
    <t xml:space="preserve">/sistem-integrat-securitate-brasov + proiect sistem securitate inainte montaj</t>
  </si>
  <si>
    <t xml:space="preserve">joi</t>
  </si>
  <si>
    <t xml:space="preserve">Cât costă un sistem de alarmă pentru casă în 2026? Prețuri reale + exemple</t>
  </si>
  <si>
    <t xml:space="preserve">alarma-casa-pret-2026-exemple-reale</t>
  </si>
  <si>
    <t xml:space="preserve">Prețuri actualizate 2026 pentru sisteme de alarmă casă: de la 1.500 RON la 8.500 RON. Exemple reale, ce include fiecare pachet. Calculator preț →</t>
  </si>
  <si>
    <t xml:space="preserve">pret alarma casa, cat costa alarma, sistem antiefractie pret</t>
  </si>
  <si>
    <t xml:space="preserve">2.200</t>
  </si>
  <si>
    <t xml:space="preserve">Calculator preț online</t>
  </si>
  <si>
    <t xml:space="preserve">/alarma-antiefractie + ajax-vs-paradox-vs-dsc + securitate-locuinta-ghid</t>
  </si>
  <si>
    <t xml:space="preserve">S2</t>
  </si>
  <si>
    <t xml:space="preserve">Camere supraveghere exterior: top 10 modele profesionale recomandate în 2026</t>
  </si>
  <si>
    <t xml:space="preserve">camere-supraveghere-exterior-top-10-2026</t>
  </si>
  <si>
    <t xml:space="preserve">Comparativ 2026: cele mai bune 10 camere exterior pentru casă și firmă. IP67, 4K, vedere nocturnă. Prețuri și specificații. Cere ofertă →</t>
  </si>
  <si>
    <t xml:space="preserve">camera exterior 4K, camera IP67, camera vedere nocturna</t>
  </si>
  <si>
    <t xml:space="preserve">2.000</t>
  </si>
  <si>
    <t xml:space="preserve">Cere ofertă personalizată</t>
  </si>
  <si>
    <t xml:space="preserve">/camere-supraveghere + nvr-vs-dvr + camere-firma</t>
  </si>
  <si>
    <t xml:space="preserve">Autorizarea ISU pentru firmă: ghid pas cu pas (documente, costuri, termene)</t>
  </si>
  <si>
    <t xml:space="preserve">autorizare-isu-firma-ghid-pas-cu-pas</t>
  </si>
  <si>
    <t xml:space="preserve">Ghid complet: autorizarea ISU pentru firme în 2026. Documentație, timp de obținere, costuri reale. Evită amenzi de până la 60.000 RON →</t>
  </si>
  <si>
    <t xml:space="preserve">aviz isu firma, documentatie isu, proiect tehnic pentru isu</t>
  </si>
  <si>
    <t xml:space="preserve">2.400</t>
  </si>
  <si>
    <t xml:space="preserve">Consultanță ISU gratuită</t>
  </si>
  <si>
    <t xml:space="preserve">/detectie-incendiu-isu + detectie-incendiu-pret + analiza-risc</t>
  </si>
  <si>
    <t xml:space="preserve">S3</t>
  </si>
  <si>
    <t xml:space="preserve">Control acces biometric 2026: prețuri, modele și greșelile de evitat</t>
  </si>
  <si>
    <t xml:space="preserve">control-acces-biometric-pret-modele-2026</t>
  </si>
  <si>
    <t xml:space="preserve">Cât costă un control acces biometric pentru firmă? Amprentă vs. facială vs. iris. Top modele, prețuri 2026 + instalare. Ofertă gratuită →</t>
  </si>
  <si>
    <t xml:space="preserve">cititor amprenta, recunoastere faciala acces, control acces firma</t>
  </si>
  <si>
    <t xml:space="preserve">1.900</t>
  </si>
  <si>
    <t xml:space="preserve">Cere ofertă pentru firmă</t>
  </si>
  <si>
    <t xml:space="preserve">/control-acces + pontaj-electronic-ghid + sistem-integrat</t>
  </si>
  <si>
    <t xml:space="preserve">Camere IP vs analog: care sunt diferențele și care convine mai bine în 2026</t>
  </si>
  <si>
    <t xml:space="preserve">camere-ip-vs-analog-diferente-2026</t>
  </si>
  <si>
    <t xml:space="preserve">Camere IP vs analog explicate pe înțeles: rezoluție, cablaj, preț, funcționalități. Ghid complet cu tabel comparativ. Află răspunsul →</t>
  </si>
  <si>
    <t xml:space="preserve">camere ip, camere analog, diferente camere supraveghere</t>
  </si>
  <si>
    <t xml:space="preserve">1.600</t>
  </si>
  <si>
    <t xml:space="preserve">Consultanță tehnică gratuită</t>
  </si>
  <si>
    <t xml:space="preserve">/camere-supraveghere + nvr-vs-dvr + camera-exterior-top-10</t>
  </si>
  <si>
    <t xml:space="preserve">S4</t>
  </si>
  <si>
    <t xml:space="preserve">Automatizare poartă glisantă: prețuri, kituri și timp de instalare în 2026</t>
  </si>
  <si>
    <t xml:space="preserve">automatizare-poarta-glisanta-preturi-kituri-2026</t>
  </si>
  <si>
    <t xml:space="preserve">Prețuri 2026 pentru automatizare poartă glisantă: de la 2.800 RON. Nice, Roger, Came. Instalare 1-2 zile. Cere ofertă cu montaj →</t>
  </si>
  <si>
    <t xml:space="preserve">kit automatizare poarta glisanta, motor poarta culisanta pret, automatizare poarta grea</t>
  </si>
  <si>
    <t xml:space="preserve">Cere ofertă cu montaj inclus</t>
  </si>
  <si>
    <t xml:space="preserve">/automatizari-porti + automatizare-poarta-ghid + usa-garaj</t>
  </si>
  <si>
    <t xml:space="preserve">GDPR și camerele de supraveghere în firmă: checklist 2026 + amenzi de evitat</t>
  </si>
  <si>
    <t xml:space="preserve">gdpr-camere-supraveghere-firma-checklist-2026</t>
  </si>
  <si>
    <t xml:space="preserve">Checklist GDPR 2026 pentru CCTV în firmă: notificare, stocare, acces. Amenzi reale date de ANSPDCP. Conformare în 7 pași →</t>
  </si>
  <si>
    <t xml:space="preserve">gdpr cctv, anspdcp amenzi, cat timp stocam inregistrari</t>
  </si>
  <si>
    <t xml:space="preserve">2.100</t>
  </si>
  <si>
    <t xml:space="preserve">Audit GDPR gratuit</t>
  </si>
  <si>
    <t xml:space="preserve">/camere-supraveghere + camere-gdpr-ghid + camere-firma</t>
  </si>
  <si>
    <t xml:space="preserve">S5</t>
  </si>
  <si>
    <t xml:space="preserve">Camere supraveghere Brașov: prețuri 2026 și instalare în aceeași zi</t>
  </si>
  <si>
    <t xml:space="preserve">camere-supraveghere-brasov-pret-instalare-2026</t>
  </si>
  <si>
    <t xml:space="preserve">Servicii camere supraveghere Brașov: prețuri 2026, instalare rapidă 24h, garanție 2 ani. 8700+ proiecte. Solicită ofertă acum →</t>
  </si>
  <si>
    <t xml:space="preserve">instalare camere brasov, firma camere supraveghere brasov</t>
  </si>
  <si>
    <t xml:space="preserve">1.500</t>
  </si>
  <si>
    <t xml:space="preserve">Instalare în 24h</t>
  </si>
  <si>
    <t xml:space="preserve">/camere-supraveghere-ploiesti + camera-exterior-top-10 + firma-securitate-brasov</t>
  </si>
  <si>
    <t xml:space="preserve">Cât costă detecția de incendiu pentru o hală industrială? Studiu de caz</t>
  </si>
  <si>
    <t xml:space="preserve">detectie-incendiu-hala-industriala-studiu-caz</t>
  </si>
  <si>
    <t xml:space="preserve">Studiu de caz real: instalare detecție incendiu într-o hală de 2.500 mp în Brașov. Buget, timp, componente, aviz ISU obținut →</t>
  </si>
  <si>
    <t xml:space="preserve">detectie incendiu industrial, detectie incendiu hala, incendiu depozit</t>
  </si>
  <si>
    <t xml:space="preserve">Evaluare hală gratuită</t>
  </si>
  <si>
    <t xml:space="preserve">/detectie-incendiu-isu + autorizare-isu + sistem-integrat</t>
  </si>
  <si>
    <t xml:space="preserve">S6</t>
  </si>
  <si>
    <t xml:space="preserve">Alarmă pentru magazin sau showroom: ce sistem alegi pentru valoare mare de marfă</t>
  </si>
  <si>
    <t xml:space="preserve">alarma-magazin-showroom-sistem-profesional</t>
  </si>
  <si>
    <t xml:space="preserve">Ghid alarmă pentru magazine cu marfă valoroasă: senzori perimetru, spargere geam, atac tâlhărie. Prețuri și conexiune cu dispecerat →</t>
  </si>
  <si>
    <t xml:space="preserve">alarma showroom, sistem antiefractie magazin, alarma retail</t>
  </si>
  <si>
    <t xml:space="preserve">1.700</t>
  </si>
  <si>
    <t xml:space="preserve">Proiect alarmă magazin</t>
  </si>
  <si>
    <t xml:space="preserve">/alarma-antiefractie-brasov + ajax-vs-paradox-vs-dsc + monitorizare-24-7</t>
  </si>
  <si>
    <t xml:space="preserve">Videointerfon IP vs. videointerfon analog: comparație tehnică și prețuri 2026</t>
  </si>
  <si>
    <t xml:space="preserve">videointerfon-ip-vs-analog-comparatie-2026</t>
  </si>
  <si>
    <t xml:space="preserve">Videointerfon IP vs. analog: rezoluție, conectivitate WiFi, smartphone. Tabel comparativ cu prețuri Hikvision, Dahua, Akuvox →</t>
  </si>
  <si>
    <t xml:space="preserve">videointerfon analogic, videointerfon smartphone, videointerfon cu aplicatie</t>
  </si>
  <si>
    <t xml:space="preserve">Consultanță videointerfon</t>
  </si>
  <si>
    <t xml:space="preserve">/interfoane-videointerfoane + interfon-video-vs-videointerfon-ip</t>
  </si>
  <si>
    <t xml:space="preserve">S7</t>
  </si>
  <si>
    <t xml:space="preserve">Senzor de mișcare pentru alarmă: PIR, dual, volumetric — care să alegi</t>
  </si>
  <si>
    <t xml:space="preserve">senzor-miscare-alarma-tipuri-alegere</t>
  </si>
  <si>
    <t xml:space="preserve">Ghid tehnic: senzori de mișcare PIR, dual-tech, microunde, volumetrici. Când se folosesc, prețuri și erori comune de instalare →</t>
  </si>
  <si>
    <t xml:space="preserve">senzor pir, senzor dual tech, detector miscare alarma</t>
  </si>
  <si>
    <t xml:space="preserve">Cere un proiect personalizat</t>
  </si>
  <si>
    <t xml:space="preserve">/alarma-antiefractie + securitate-locuinta + ajax-vs-paradox</t>
  </si>
  <si>
    <t xml:space="preserve">Sistem de securitate pentru depozit: CCTV + alarmă perimetrală + control acces</t>
  </si>
  <si>
    <t xml:space="preserve">sistem-securitate-depozit-logistica-ghid</t>
  </si>
  <si>
    <t xml:space="preserve">Ghid securitate depozit: CCTV termal, alarmă perimetrală, control acces camion. Studii de caz logistică Brașov-Prejmer →</t>
  </si>
  <si>
    <t xml:space="preserve">securitate depozit logistica, alarma perimetrala, cctv depozit</t>
  </si>
  <si>
    <t xml:space="preserve">Evaluare depozit gratuită</t>
  </si>
  <si>
    <t xml:space="preserve">/servicii + sistem-integrat + camere-firma</t>
  </si>
  <si>
    <t xml:space="preserve">S8</t>
  </si>
  <si>
    <t xml:space="preserve">Smart home + securitate: integrări Alexa, Google Home și Apple HomeKit (2026)</t>
  </si>
  <si>
    <t xml:space="preserve">smart-home-securitate-alexa-google-homekit</t>
  </si>
  <si>
    <t xml:space="preserve">Cum integrezi alarma și camerele cu Alexa, Google Home, Apple HomeKit. Scenarii automate, voce, notificări. Lista dispozitive compatibile →</t>
  </si>
  <si>
    <t xml:space="preserve">smart home alexa, homekit camera, google home alarma</t>
  </si>
  <si>
    <t xml:space="preserve">Consultanță smart home</t>
  </si>
  <si>
    <t xml:space="preserve">/smart-home-securitate + securitate-locuinta</t>
  </si>
  <si>
    <t xml:space="preserve">Ajax vs Hikvision: comparativ complet alarmă wireless vs. ecosistem CCTV</t>
  </si>
  <si>
    <t xml:space="preserve">ajax-vs-hikvision-comparativ-2026</t>
  </si>
  <si>
    <t xml:space="preserve">Ajax (alarmă wireless premium) vs. Hikvision (CCTV + alarmă). Preț, fiabilitate, scalabilitate. Ce alegem pentru casă vs. firmă →</t>
  </si>
  <si>
    <t xml:space="preserve">ajax alarma, hikvision alarma, comparatie alarme wireless</t>
  </si>
  <si>
    <t xml:space="preserve">Recomandare pe proiect</t>
  </si>
  <si>
    <t xml:space="preserve">/alarma-antiefractie + ajax-vs-paradox-vs-dsc + nvr-vs-dvr</t>
  </si>
  <si>
    <t xml:space="preserve">S9</t>
  </si>
  <si>
    <t xml:space="preserve">Pontaj electronic pentru firme mici (sub 20 angajați): soluții sub 3.000 RON</t>
  </si>
  <si>
    <t xml:space="preserve">pontaj-electronic-firma-mica-solutii-ieftine</t>
  </si>
  <si>
    <t xml:space="preserve">Pontaj electronic pentru firme mici: amprentă, card sau facial. Soluții complete sub 3.000 RON cu software inclus. Cere ofertă →</t>
  </si>
  <si>
    <t xml:space="preserve">pontaj ieftin, pontaj amprenta pret, pontaj angajati mic</t>
  </si>
  <si>
    <t xml:space="preserve">Demo pontaj gratuit</t>
  </si>
  <si>
    <t xml:space="preserve">/pontaj-electronic-brasov + pontaj-ghid + control-acces</t>
  </si>
  <si>
    <t xml:space="preserve">Camere 4K vs 1080p: merită diferența de preț în 2026?</t>
  </si>
  <si>
    <t xml:space="preserve">camere-4k-vs-1080p-merita-diferenta</t>
  </si>
  <si>
    <t xml:space="preserve">Camere 4K vs 1080p: când are sens upgrade-ul, impact asupra NVR, bandă, stocare. Analiză cost/beneficiu pe 5 scenarii →</t>
  </si>
  <si>
    <t xml:space="preserve">camera 4k pret, 1080p vs 4k, rezolutie camera</t>
  </si>
  <si>
    <t xml:space="preserve">Proiect CCTV personalizat</t>
  </si>
  <si>
    <t xml:space="preserve">/camere-supraveghere + nvr-vs-dvr + camere-exterior-top</t>
  </si>
  <si>
    <t xml:space="preserve">S10</t>
  </si>
  <si>
    <t xml:space="preserve">Barieră auto pentru parcare privată: cum alegi (viteză, lungime braț, tehnologie)</t>
  </si>
  <si>
    <t xml:space="preserve">bariera-auto-parcare-privata-cum-alegi</t>
  </si>
  <si>
    <t xml:space="preserve">Barieră auto parcare privată: criterii de alegere — viteză deschidere, lungime braț, LPR, tandem. Prețuri Nice, Came, BFT →</t>
  </si>
  <si>
    <t xml:space="preserve">bariera auto parcare, bariera cu lpr, bariera rapida</t>
  </si>
  <si>
    <t xml:space="preserve">Audit trafic parcare</t>
  </si>
  <si>
    <t xml:space="preserve">/bariere-auto + bariere-auto-parcari-ghid + automatizari-porti</t>
  </si>
  <si>
    <t xml:space="preserve">Camere cu inteligență artificială (AI): detecție persoane, plăcuțe, loitering</t>
  </si>
  <si>
    <t xml:space="preserve">camere-supraveghere-ai-detectie-inteligenta</t>
  </si>
  <si>
    <t xml:space="preserve">Camere AI: detecție persoane, plăcuțe de înmatriculare (ANPR), loitering, counting. Hikvision DeepinView, Dahua WizMind, Axis →</t>
  </si>
  <si>
    <t xml:space="preserve">camera ai, anpr camera, camera inteligenta, deepinview</t>
  </si>
  <si>
    <t xml:space="preserve">Demo AI camera</t>
  </si>
  <si>
    <t xml:space="preserve">/camere-supraveghere + camere-firma + nvr-vs-dvr</t>
  </si>
  <si>
    <t xml:space="preserve">S11</t>
  </si>
  <si>
    <t xml:space="preserve">Monitorizare alarmă 24/7 prin dispecerat: cât costă și cum funcționează</t>
  </si>
  <si>
    <t xml:space="preserve">monitorizare-alarma-24-7-dispecerat-pret</t>
  </si>
  <si>
    <t xml:space="preserve">Serviciu monitorizare 24/7 alarmă: dispecerat, intervenție echipaj, cost lunar 60-150 RON. Cum se conectează sistemul tău →</t>
  </si>
  <si>
    <t xml:space="preserve">dispecerat alarma, monitorizare alarma firma, abonament dispecerat</t>
  </si>
  <si>
    <t xml:space="preserve">Conectare la dispecerat</t>
  </si>
  <si>
    <t xml:space="preserve">/alarma-antiefractie + alarma-brasov + sistem-integrat</t>
  </si>
  <si>
    <t xml:space="preserve">Ușă garaj automată: secționată, basculantă, cu bandă — prețuri 2026</t>
  </si>
  <si>
    <t xml:space="preserve">usa-garaj-automata-sectionata-basculanta-preturi</t>
  </si>
  <si>
    <t xml:space="preserve">Uși garaj automate 2026: secționate, basculante, rapide. Prețuri Hörmann, Nice, Novoferm + montaj. Cere ofertă cu măsurători →</t>
  </si>
  <si>
    <t xml:space="preserve">usa garaj sectionata, usa garaj basculanta, motor usa garaj</t>
  </si>
  <si>
    <t xml:space="preserve">Măsurătoare gratuită la fața locului</t>
  </si>
  <si>
    <t xml:space="preserve">/usi-garaj + automatizare-poarta-ghid + bariere-auto</t>
  </si>
  <si>
    <t xml:space="preserve">S12</t>
  </si>
  <si>
    <t xml:space="preserve">Control acces clădire de birouri: card, amprentă, QR sau telefon?</t>
  </si>
  <si>
    <t xml:space="preserve">control-acces-cladire-birouri-tehnologii</t>
  </si>
  <si>
    <t xml:space="preserve">Control acces birouri: comparativ card RFID, amprentă, QR, mobile credential. Integrare cu ascensor și pontaj. Studiu de caz →</t>
  </si>
  <si>
    <t xml:space="preserve">control acces birouri, acces cladire birouri, turnicheti birouri</t>
  </si>
  <si>
    <t xml:space="preserve">Audit acces clădire</t>
  </si>
  <si>
    <t xml:space="preserve">Kit complet supraveghere magazin cu 4 camere: prețuri și ce include</t>
  </si>
  <si>
    <t xml:space="preserve">kit-supraveghere-magazin-4-camere-pret</t>
  </si>
  <si>
    <t xml:space="preserve">Kit supraveghere magazin cu 4 camere: NVR, 4 camere exterior, HDD 2TB, cabluri, montaj. Prețuri complete 3.500-7.000 RON →</t>
  </si>
  <si>
    <t xml:space="preserve">kit cctv 4 camere, sistem supraveghere magazin pret, camera magazin</t>
  </si>
  <si>
    <t xml:space="preserve">Comandă kit + montaj</t>
  </si>
  <si>
    <t xml:space="preserve">/camere-supraveghere + camera-exterior-top-10 + alarma-magazin</t>
  </si>
  <si>
    <t xml:space="preserve">S13</t>
  </si>
  <si>
    <t xml:space="preserve">Proiect tehnic securitate avizat ISU: de ce e obligatoriu (și când nu e)</t>
  </si>
  <si>
    <t xml:space="preserve">proiect-tehnic-securitate-avizat-isu-cand</t>
  </si>
  <si>
    <t xml:space="preserve">Când ai nevoie de proiect tehnic securitate avizat ISU: tipuri de clădiri, nivel de risc, documentație. Evită amenzi 20.000-60.000 RON →</t>
  </si>
  <si>
    <t xml:space="preserve">proiect isu, aviz isu firma, proiect tehnic incendiu</t>
  </si>
  <si>
    <t xml:space="preserve">Consultanță proiect ISU</t>
  </si>
  <si>
    <t xml:space="preserve">/detectie-incendiu-isu + autorizare-isu + proiect-sistem-securitate</t>
  </si>
  <si>
    <t xml:space="preserve">Sonorizare restaurant și cafenea: acustică, BGM, prețuri 2026</t>
  </si>
  <si>
    <t xml:space="preserve">sonorizare-restaurant-cafenea-acustica-pret</t>
  </si>
  <si>
    <t xml:space="preserve">Sonorizare restaurant: sisteme BGM, acustică, zone audio, integrare cu ringtones. Prețuri Bose, JBL, QSC + instalare →</t>
  </si>
  <si>
    <t xml:space="preserve">sonorizare cafenea, bgm restaurant, acustica restaurant</t>
  </si>
  <si>
    <t xml:space="preserve">Ofertă sonorizare HoReCa</t>
  </si>
  <si>
    <t xml:space="preserve">/sonorizare + servicii</t>
  </si>
  <si>
    <t xml:space="preserve">S14</t>
  </si>
  <si>
    <t xml:space="preserve">Cameră cu baterie solară: funcționează iarna în România?</t>
  </si>
  <si>
    <t xml:space="preserve">camera-supraveghere-baterie-solara-romania</t>
  </si>
  <si>
    <t xml:space="preserve">Camere solare în România: autonomie reală iarna, panouri, baterii, 4G. Testare pe teren. Când funcționează și când NU →</t>
  </si>
  <si>
    <t xml:space="preserve">camera solara, camera fara curent, camera 4g baterie</t>
  </si>
  <si>
    <t xml:space="preserve">Kit cameră solară</t>
  </si>
  <si>
    <t xml:space="preserve">/camere-supraveghere + camera-exterior-top</t>
  </si>
  <si>
    <t xml:space="preserve">Sistem integrat pentru hotel/pensiune: RFID, parcare, CCTV, pontaj — totul într-unul</t>
  </si>
  <si>
    <t xml:space="preserve">sistem-integrat-hotel-pensiune-rfid-cctv</t>
  </si>
  <si>
    <t xml:space="preserve">Sistem integrat hotel: carduri RFID camere, bariere parcare, CCTV holuri, pontaj angajați. Integrare cu PMS. Cere proiect →</t>
  </si>
  <si>
    <t xml:space="preserve">securitate hotel, rfid camera hotel, integrare hotel pms</t>
  </si>
  <si>
    <t xml:space="preserve">Audit hotel gratuit</t>
  </si>
  <si>
    <t xml:space="preserve">/sistem-integrat + control-acces + bariere-auto</t>
  </si>
  <si>
    <t xml:space="preserve">S15</t>
  </si>
  <si>
    <t xml:space="preserve">Alarmă cu SIM card vs. alarmă pe WiFi: care e mai fiabilă?</t>
  </si>
  <si>
    <t xml:space="preserve">alarma-sim-card-vs-wifi-comparatie</t>
  </si>
  <si>
    <t xml:space="preserve">Alarmă SIM card vs. WiFi: comparativ fiabilitate, cost lunar, risc sabotaj. De ce dual-path (SIM + WiFi) e recomandat →</t>
  </si>
  <si>
    <t xml:space="preserve">alarma gsm, alarma wifi, alarma dual path</t>
  </si>
  <si>
    <t xml:space="preserve">Upgrade la dual-path</t>
  </si>
  <si>
    <t xml:space="preserve">/alarma-antiefractie + ajax-vs-paradox + monitorizare-24-7</t>
  </si>
  <si>
    <t xml:space="preserve">Cum se montează un sistem de securitate într-o clinică privată (GDPR + ISU)</t>
  </si>
  <si>
    <t xml:space="preserve">sistem-securitate-clinica-privata-gdpr-isu</t>
  </si>
  <si>
    <t xml:space="preserve">Clinici private: acces pacienți, GDPR CCTV, ISU pentru sală intervenții, dulapuri medicamente. Ghid complet cu checklist →</t>
  </si>
  <si>
    <t xml:space="preserve">securitate clinica, cabinet medical cctv gdpr, sistem securitate spital</t>
  </si>
  <si>
    <t xml:space="preserve">Audit clinică gratuit</t>
  </si>
  <si>
    <t xml:space="preserve">/detectie-incendiu-isu + camere-gdpr + sistem-integrat</t>
  </si>
  <si>
    <t xml:space="preserve">S16</t>
  </si>
  <si>
    <t xml:space="preserve">Service alarmă Brașov: ce include, cât costă și de câte ori pe an</t>
  </si>
  <si>
    <t xml:space="preserve">service-alarma-brasov-mentenanta</t>
  </si>
  <si>
    <t xml:space="preserve">Service alarmă Brașov: verificări periodice, baterii, update firmware. Ce include, preț pe abonament, frecvență recomandată →</t>
  </si>
  <si>
    <t xml:space="preserve">mentenanta alarma brasov, revizie alarma, service securitate</t>
  </si>
  <si>
    <t xml:space="preserve">1.400</t>
  </si>
  <si>
    <t xml:space="preserve">Abonament service alarmă</t>
  </si>
  <si>
    <t xml:space="preserve">/alarma-antiefractie-brasov + firma-securitate-brasov</t>
  </si>
  <si>
    <t xml:space="preserve">Sonorizare biserică: microfoane, boxe pentru naos, atenuare ecou</t>
  </si>
  <si>
    <t xml:space="preserve">sonorizare-biserica-microfoane-boxe</t>
  </si>
  <si>
    <t xml:space="preserve">Sonorizare biserică: tipuri microfoane, boxe column, corectare ecou naos. Prețuri Bose, Bosch, TOA + instalare →</t>
  </si>
  <si>
    <t xml:space="preserve">microfoane biserica, boxe biserica, sistem sonorizare biserica</t>
  </si>
  <si>
    <t xml:space="preserve">Ofertă sonorizare biserică</t>
  </si>
  <si>
    <t xml:space="preserve">/sonorizare</t>
  </si>
  <si>
    <t xml:space="preserve">S17</t>
  </si>
  <si>
    <t xml:space="preserve">Instalații electrice apartament: ce trebuie să știi înainte de renovare (prețuri 2026)</t>
  </si>
  <si>
    <t xml:space="preserve">instalatii-electrice-apartament-renovare-2026</t>
  </si>
  <si>
    <t xml:space="preserve">Renovare instalație electrică apartament: tablouri, întrerupătoare DIFA, cabluri, prize smart. Prețuri 2026 în Brașov →</t>
  </si>
  <si>
    <t xml:space="preserve">renovare instalatie electrica, pret refacere instalatie, tablou electric apartament</t>
  </si>
  <si>
    <t xml:space="preserve">Ofertă instalație electrică</t>
  </si>
  <si>
    <t xml:space="preserve">/instalatii-electrice</t>
  </si>
  <si>
    <t xml:space="preserve">Camere supraveghere AI pentru retail: reduci furturile cu 70%</t>
  </si>
  <si>
    <t xml:space="preserve">camere-ai-retail-reducere-furturi</t>
  </si>
  <si>
    <t xml:space="preserve">Camere AI în retail: detecție comportament suspect, loss prevention, integrare POS. Studii de caz reale cu reduceri 70% →</t>
  </si>
  <si>
    <t xml:space="preserve">loss prevention retail, ai retail cctv, anti-furt magazin</t>
  </si>
  <si>
    <t xml:space="preserve">Demo AI retail</t>
  </si>
  <si>
    <t xml:space="preserve">/camere-supraveghere + camere-firma + alarma-magazin</t>
  </si>
  <si>
    <t xml:space="preserve">S18</t>
  </si>
  <si>
    <t xml:space="preserve">Reparații camere supraveghere Brașov: diagnostic + intervenție în 24h</t>
  </si>
  <si>
    <t xml:space="preserve">reparatii-camere-supraveghere-brasov</t>
  </si>
  <si>
    <t xml:space="preserve">Reparații camere supraveghere Brașov: diagnostic, înlocuire, actualizare firmware. Intervenție în 24h pentru firme. Sună acum →</t>
  </si>
  <si>
    <t xml:space="preserve">service cctv brasov, reparatie camera supraveghere, inlocuire camera brasov</t>
  </si>
  <si>
    <t xml:space="preserve">1.200</t>
  </si>
  <si>
    <t xml:space="preserve">Solicită intervenție rapidă</t>
  </si>
  <si>
    <t xml:space="preserve">/camere-supraveghere + firma-securitate-brasov</t>
  </si>
  <si>
    <t xml:space="preserve">Automatizare poartă cu panou solar: e viabilă în România?</t>
  </si>
  <si>
    <t xml:space="preserve">automatizare-poarta-solara-viabilitate-romania</t>
  </si>
  <si>
    <t xml:space="preserve">Automatizare poartă solară: autonomie reală 2026, kituri 24V, baterii. Când merită față de tragere curent electric →</t>
  </si>
  <si>
    <t xml:space="preserve">poarta solara, kit poarta solara, automatizare fara curent</t>
  </si>
  <si>
    <t xml:space="preserve">Kit poartă solară</t>
  </si>
  <si>
    <t xml:space="preserve">/automatizari-porti + automatizare-poarta-ghid</t>
  </si>
  <si>
    <t xml:space="preserve">S19</t>
  </si>
  <si>
    <t xml:space="preserve">Matter: cum schimbă smart home-ul în România (2026)</t>
  </si>
  <si>
    <t xml:space="preserve">matter-protocol-smart-home-romania-2026</t>
  </si>
  <si>
    <t xml:space="preserve">Matter 1.3: ce este, ce aduce nou în 2026 în RO. Compatibilitate Apple, Google, Samsung, Amazon. Impact pentru instalatori →</t>
  </si>
  <si>
    <t xml:space="preserve">matter smart home, matter 1.3, protocol matter romania</t>
  </si>
  <si>
    <t xml:space="preserve">Consultanță Matter</t>
  </si>
  <si>
    <t xml:space="preserve">/smart-home-securitate + servicii</t>
  </si>
  <si>
    <t xml:space="preserve">Sistem integrat de securitate pentru fabrică: CCTV perimetral + ISU + pontaj</t>
  </si>
  <si>
    <t xml:space="preserve">sistem-integrat-fabrica-cctv-isu-pontaj</t>
  </si>
  <si>
    <t xml:space="preserve">Fabrici: CCTV perimetral termal, ISU industrial, pontaj flux, control acces hale. Proiecte pe cluster Brașov (Bosch, Schaeffler) →</t>
  </si>
  <si>
    <t xml:space="preserve">securitate fabrica, cctv perimetru fabrica, isu industrial</t>
  </si>
  <si>
    <t xml:space="preserve">2.300</t>
  </si>
  <si>
    <t xml:space="preserve">Audit fabrică gratuit</t>
  </si>
  <si>
    <t xml:space="preserve">/sistem-integrat + detectie-incendiu-isu + pontaj-electronic</t>
  </si>
  <si>
    <t xml:space="preserve">S20</t>
  </si>
  <si>
    <t xml:space="preserve">Alarmă antiefracție 2026: top 5 greșeli care îți sabotează sistemul</t>
  </si>
  <si>
    <t xml:space="preserve">alarma-antiefractie-top-5-greseli-2026</t>
  </si>
  <si>
    <t xml:space="preserve">Top 5 greșeli comune la sisteme alarmă: senzori prost montați, baterii, carte SIM veche, WiFi slab, zone dezactivate. Cum eviți →</t>
  </si>
  <si>
    <t xml:space="preserve">greseli instalare alarma, probleme alarma casa, alarma nu functioneaza</t>
  </si>
  <si>
    <t xml:space="preserve">Verificare gratuită alarmă</t>
  </si>
  <si>
    <t xml:space="preserve">/alarma-antiefractie + securitate-locuinta + service-alarma-brasov</t>
  </si>
  <si>
    <t xml:space="preserve">NVR, DVR sau cloud: cum stochezi corect înregistrările în 2026</t>
  </si>
  <si>
    <t xml:space="preserve">nvr-dvr-cloud-stocare-cctv-2026</t>
  </si>
  <si>
    <t xml:space="preserve">Stocare CCTV 2026: NVR local, DVR analog, cloud. Costuri, securitate, GDPR. Arhitectura recomandată pentru casă vs. firmă →</t>
  </si>
  <si>
    <t xml:space="preserve">nvr pret, dvr vs nvr, cloud cctv romania</t>
  </si>
  <si>
    <t xml:space="preserve">Consultanță stocare CCTV</t>
  </si>
  <si>
    <t xml:space="preserve">/camere-supraveghere + nvr-vs-dvr + gdpr-camere</t>
  </si>
  <si>
    <t xml:space="preserve">S21</t>
  </si>
  <si>
    <t xml:space="preserve">Autorizare ISU pentru restaurant: documente, timp, cost (exemplu Brașov)</t>
  </si>
  <si>
    <t xml:space="preserve">autorizare-isu-restaurant-brasov-exemplu</t>
  </si>
  <si>
    <t xml:space="preserve">Autorizare ISU restaurant Brașov: exemplu real pas cu pas. Documente, proiect, timp obținere, cost total 2026 →</t>
  </si>
  <si>
    <t xml:space="preserve">isu restaurant, aviz isu horeca, sg horeca</t>
  </si>
  <si>
    <t xml:space="preserve">Ghidare ISU restaurant</t>
  </si>
  <si>
    <t xml:space="preserve">/detectie-incendiu-isu + autorizare-isu-ghid + sonorizare-restaurant</t>
  </si>
  <si>
    <t xml:space="preserve">Cameră supraveghere cu LPR (plăcuțe auto): GDPR și utilizări legale în 2026</t>
  </si>
  <si>
    <t xml:space="preserve">camere-lpr-placute-auto-gdpr-2026</t>
  </si>
  <si>
    <t xml:space="preserve">Camere LPR (recunoaștere plăcuțe): utilizări legale la parcări, firme. Cum respecți GDPR, amenzi recente, setări corecte →</t>
  </si>
  <si>
    <t xml:space="preserve">lpr camera, recunoastere placute auto, anpr gdpr</t>
  </si>
  <si>
    <t xml:space="preserve">Proiect LPR conform GDPR</t>
  </si>
  <si>
    <t xml:space="preserve">/bariere-auto + camere-gdpr + control-acces-birouri</t>
  </si>
  <si>
    <t xml:space="preserve">S22</t>
  </si>
  <si>
    <t xml:space="preserve">Alarmă Brașov instalată în 48h: proces, preț, garanție</t>
  </si>
  <si>
    <t xml:space="preserve">alarma-brasov-instalare-48h-pret-garantie</t>
  </si>
  <si>
    <t xml:space="preserve">Alarmă Brașov instalată în 48h de la comandă. Proces clar în 4 pași, prețuri transparente, garanție 2 ani. Comandă online →</t>
  </si>
  <si>
    <t xml:space="preserve">alarma brasov instalare rapida, firma alarme brasov</t>
  </si>
  <si>
    <t xml:space="preserve">Comandă alarmă rapidă</t>
  </si>
  <si>
    <t xml:space="preserve">/alarma-antiefractie-brasov + firma-securitate-brasov + securitate-locuinta</t>
  </si>
  <si>
    <t xml:space="preserve">Sistem de securitate pentru benzinărie: alarmă + CCTV + trezorerie</t>
  </si>
  <si>
    <t xml:space="preserve">sistem-securitate-benzinarie-alarma-cctv</t>
  </si>
  <si>
    <t xml:space="preserve">Benzinării: alarmă atac, CCTV 360° pompe, kiosk, safe drop trezorerie. Conformitate și integrare cu monitorizarea 24/7 →</t>
  </si>
  <si>
    <t xml:space="preserve">securitate benzinarie, safe drop benzinarie, cctv benzinarie</t>
  </si>
  <si>
    <t xml:space="preserve">Audit benzinărie gratuit</t>
  </si>
  <si>
    <t xml:space="preserve">/sistem-integrat + alarma-magazin + monitorizare-24-7</t>
  </si>
  <si>
    <t xml:space="preserve">S23</t>
  </si>
  <si>
    <t xml:space="preserve">Aer condiționat inverter 2026: top branduri, randament, prețuri reale</t>
  </si>
  <si>
    <t xml:space="preserve">aer-conditionat-inverter-top-branduri-2026</t>
  </si>
  <si>
    <t xml:space="preserve">Top branduri AC inverter 2026: Daikin, Mitsubishi, LG, Samsung. Randament real SEER, preț, consum anual. Montaj inclus →</t>
  </si>
  <si>
    <t xml:space="preserve">aer conditionat daikin pret, ac inverter, seer aer conditionat</t>
  </si>
  <si>
    <t xml:space="preserve">Ofertă AC cu montaj</t>
  </si>
  <si>
    <t xml:space="preserve">/aer-conditionat + aer-conditionat-ghid + ventilatie</t>
  </si>
  <si>
    <t xml:space="preserve">Ventilație pentru casă pasivă: recuperare căldură 90%+ (ghid complet)</t>
  </si>
  <si>
    <t xml:space="preserve">ventilatie-casa-pasiva-recuperare-caldura</t>
  </si>
  <si>
    <t xml:space="preserve">VMC cu recuperare căldură 90%+: cum alegi unitatea, dimensionare canale, costuri reale, impact pe factura lunară →</t>
  </si>
  <si>
    <t xml:space="preserve">vmc casa pasiva, recuperator caldura 90%, ventilatie casa eficienta</t>
  </si>
  <si>
    <t xml:space="preserve">Proiect VMC gratuit</t>
  </si>
  <si>
    <t xml:space="preserve">/ventilatie + ventilatie-recuperare-caldura + aer-conditionat</t>
  </si>
  <si>
    <t xml:space="preserve">S24</t>
  </si>
  <si>
    <t xml:space="preserve">Securitate pentru spații de coworking: acces, camere, alarmă, rezervări</t>
  </si>
  <si>
    <t xml:space="preserve">securitate-coworking-acces-camere-alarma</t>
  </si>
  <si>
    <t xml:space="preserve">Coworking: control acces per membru (QR/app), CCTV comun, alarmă nocturnă. Integrare cu sistemele de rezervări. Studiu de caz →</t>
  </si>
  <si>
    <t xml:space="preserve">securitate coworking, acces coworking, cctv birouri partajate</t>
  </si>
  <si>
    <t xml:space="preserve">Proiect coworking</t>
  </si>
  <si>
    <t xml:space="preserve">/control-acces + pontaj-electronic + camere-firma</t>
  </si>
  <si>
    <t xml:space="preserve">Cum previi false alarme la sistemul antiefracție: 8 reguli de aur</t>
  </si>
  <si>
    <t xml:space="preserve">false-alarme-sistem-antiefractie-prevenire</t>
  </si>
  <si>
    <t xml:space="preserve">False alarme: cauze comune (animale, umiditate, vibrații), 8 reguli pentru prevenire, setări recomandate pe Ajax &amp; Paradox →</t>
  </si>
  <si>
    <t xml:space="preserve">false alarme, falsa alarma solutie, animale de companie alarma</t>
  </si>
  <si>
    <t xml:space="preserve">Reglare sistem alarmă</t>
  </si>
  <si>
    <t xml:space="preserve">/alarma-antiefractie + ajax-vs-paradox + securitate-locuinta</t>
  </si>
  <si>
    <t xml:space="preserve">S25</t>
  </si>
  <si>
    <t xml:space="preserve">Control acces pe lift + etaj: cum limitezi accesul în clădiri multi-tenant</t>
  </si>
  <si>
    <t xml:space="preserve">control-acces-lift-etaj-multi-tenant</t>
  </si>
  <si>
    <t xml:space="preserve">Control acces pe ascensor și etaj: integrare cu card RFID, mobile credential. Scenarii clădiri birouri, rezidențial premium →</t>
  </si>
  <si>
    <t xml:space="preserve">control acces lift, card acces etaj, multi-tenant acces</t>
  </si>
  <si>
    <t xml:space="preserve">Proiect lift + etaj</t>
  </si>
  <si>
    <t xml:space="preserve">/control-acces + sistem-integrat + control-acces-birouri</t>
  </si>
  <si>
    <t xml:space="preserve">Securitate locuință pe perioada vacanței: checklist 2026</t>
  </si>
  <si>
    <t xml:space="preserve">securitate-locuinta-vacanta-checklist-2026</t>
  </si>
  <si>
    <t xml:space="preserve">Vacanță liniștită: checklist 15 puncte pentru securitatea locuinței — alarmă armată parțial, simulare prezență, monitorizare camere →</t>
  </si>
  <si>
    <t xml:space="preserve">securitate vacanta, casa vacanta alarma, simulare prezenta</t>
  </si>
  <si>
    <t xml:space="preserve">Audit securitate vacanță</t>
  </si>
  <si>
    <t xml:space="preserve">/alarma-antiefractie + securitate-locuinta + smart-home-securitate</t>
  </si>
  <si>
    <t xml:space="preserve">S26</t>
  </si>
  <si>
    <t xml:space="preserve">Bilanț 2026: tendințe securitate pentru 2027 (AI, 5G, cibersec)</t>
  </si>
  <si>
    <t xml:space="preserve">bilant-2026-tendinte-securitate-2027</t>
  </si>
  <si>
    <t xml:space="preserve">Bilanț 2026 + previziuni 2027: AI în CCTV, 5G SRC, atacuri cibernetice pe alarme WiFi, Matter. Ce trebuie să știi ca beneficiar →</t>
  </si>
  <si>
    <t xml:space="preserve">tendinte securitate 2027, 5g securitate, cibersec alarma</t>
  </si>
  <si>
    <t xml:space="preserve">Consultanță strategică 2027</t>
  </si>
  <si>
    <t xml:space="preserve">/servicii + sistem-integrat + smart-home-securitate</t>
  </si>
  <si>
    <t xml:space="preserve">Checklist optimizare SEO tehnic — CSSI.ro</t>
  </si>
  <si>
    <t xml:space="preserve">Arie</t>
  </si>
  <si>
    <t xml:space="preserve">Recomandare concretă</t>
  </si>
  <si>
    <t xml:space="preserve">Efort</t>
  </si>
  <si>
    <t xml:space="preserve">ON-PAGE — Meta</t>
  </si>
  <si>
    <t xml:space="preserve">Revizuiește meta-description pe cele 17 articole existente → 150-160 caractere + CTA "Cere ofertă"</t>
  </si>
  <si>
    <t xml:space="preserve">Title tag cu format: [Keyword principal] [modificator] [an] | CSSI Brașov (max 60 car.)</t>
  </si>
  <si>
    <t xml:space="preserve">ON-PAGE — H1</t>
  </si>
  <si>
    <t xml:space="preserve">Un singur H1/pagină. Conține keyword-ul principal. Nu duplica cu title tag-ul.</t>
  </si>
  <si>
    <t xml:space="preserve">ON-PAGE — Conținut</t>
  </si>
  <si>
    <t xml:space="preserve">Adaugă secțiune FAQ cu 4-6 întrebări la fiecare articol + FAQ schema markup</t>
  </si>
  <si>
    <t xml:space="preserve">Fiecare articol să aibă TOC (cuprins) cu ancore — îmbunătățește dwell time și eligibility pentru sitelinks</t>
  </si>
  <si>
    <t xml:space="preserve">ON-PAGE — Imagini</t>
  </si>
  <si>
    <t xml:space="preserve">Toate imaginile cu ALT text descriptiv care conține keyword + LazyLoad + format WebP</t>
  </si>
  <si>
    <t xml:space="preserve">STRUCTURED DATA</t>
  </si>
  <si>
    <t xml:space="preserve">LocalBusiness schema pe Home + pagini de serviciu (adresă Brașov, telefon, orar, review rating)</t>
  </si>
  <si>
    <t xml:space="preserve">FAQPage schema pe toate articolele blog (boost CTR 10-15%)</t>
  </si>
  <si>
    <t xml:space="preserve">Article schema (headline, author, datePublished, image) pe toate postările blog</t>
  </si>
  <si>
    <t xml:space="preserve">BreadcrumbList schema pentru navigație ierarhică</t>
  </si>
  <si>
    <t xml:space="preserve">Service schema pe paginile de servicii + areaServed: Brașov, România</t>
  </si>
  <si>
    <t xml:space="preserve">PERFORMANȚĂ</t>
  </si>
  <si>
    <t xml:space="preserve">Înlocuiește Tailwind CDN cu versiune compilată minificată (salvezi 200+KB pe fiecare pagină)</t>
  </si>
  <si>
    <t xml:space="preserve">Core Web Vitals: țintește LCP &lt; 2.5s, CLS &lt; 0.1, INP &lt; 200ms</t>
  </si>
  <si>
    <t xml:space="preserve">Imagini responsive cu &lt;picture&gt; + srcset + WebP/AVIF</t>
  </si>
  <si>
    <t xml:space="preserve">LOCAL SEO</t>
  </si>
  <si>
    <t xml:space="preserve">Google Business Profile complet: 20+ fotografii, orar, servicii, Q&amp;A, review-uri proactive</t>
  </si>
  <si>
    <t xml:space="preserve">NAP (Name, Address, Phone) consistent pe site + GBP + directoare (anaf, paginiaurii, tbi.ro)</t>
  </si>
  <si>
    <t xml:space="preserve">Pagini dedicate pe oraș: Brașov (există), Ploiești (există), Codlea, Săcele, Râșnov, Predeal, Prejmer</t>
  </si>
  <si>
    <t xml:space="preserve">Review schema + afișare stele pe pagini serviciu (pull din Google Reviews)</t>
  </si>
  <si>
    <t xml:space="preserve">INTERNAL LINKING</t>
  </si>
  <si>
    <t xml:space="preserve">Minim 3 linkuri interne per articol (2 la alte articole din cluster, 1 la serviciu-pilon)</t>
  </si>
  <si>
    <t xml:space="preserve">Fiecare pagină de serviciu să linkeze la toate articolele din cluster-ul său</t>
  </si>
  <si>
    <t xml:space="preserve">CONȚINUT</t>
  </si>
  <si>
    <t xml:space="preserve">Updatează anual articole cu "2026" în titlu → schimbă la "2027" în decembrie, refresh content</t>
  </si>
  <si>
    <t xml:space="preserve">Adaugă cifre CSSI reale (8.700+ proiecte, 20+ ani) în toate articolele — E-E-A-T boost</t>
  </si>
  <si>
    <t xml:space="preserve">Publică 1-2 studii de caz/lună (clienți anonimizați) — foarte puternic pentru ranking comercial</t>
  </si>
  <si>
    <t xml:space="preserve">BACKLINKS</t>
  </si>
  <si>
    <t xml:space="preserve">Guest posts pe bloguri construcții, imobiliare, HoReCa (revistaconstructiilor.ro, imobiliare.ro)</t>
  </si>
  <si>
    <t xml:space="preserve">Listing pe directoare: anaf.ro, firme-infoo.ro, listafirme.ro, pagini aurii</t>
  </si>
  <si>
    <t xml:space="preserve">Parteneriate local Brașov: Camera de Comerț, clustere (ADR Centru), sponsorizări</t>
  </si>
  <si>
    <t xml:space="preserve">TEHNIC</t>
  </si>
  <si>
    <t xml:space="preserve">Sitemap.xml actualizat automat la fiecare publicare; submit în GSC</t>
  </si>
  <si>
    <t xml:space="preserve">Robots.txt: permite tot; blochează doar /admin/</t>
  </si>
  <si>
    <t xml:space="preserve">HTTPS everywhere, HSTS, redirect non-www → www (sau invers, consistent)</t>
  </si>
  <si>
    <t xml:space="preserve">Mobile-first design verificat cu PageSpeed Insights și Mobile-Friendly Test</t>
  </si>
  <si>
    <t xml:space="preserve">ANALITICĂ</t>
  </si>
  <si>
    <t xml:space="preserve">GA4 + GSC conectate; event-uri pentru: form submit, call click, WhatsApp click, scroll 75%</t>
  </si>
  <si>
    <t xml:space="preserve">Dashboard Looker Studio cu: traffic organic / articol, conversii, CTR SERP, keyword positions</t>
  </si>
  <si>
    <t xml:space="preserve">Audit critic al planului editorial + îmbunătățiri</t>
  </si>
  <si>
    <t xml:space="preserve">Ce funcționează, ce nu, și cum corectăm — analiză aprofundată post-v1</t>
  </si>
  <si>
    <t xml:space="preserve">8 PROBLEME MAJORE IDENTIFICATE ÎN PLANUL V1</t>
  </si>
  <si>
    <t xml:space="preserve">Problema</t>
  </si>
  <si>
    <t xml:space="preserve">Diagnostic concret</t>
  </si>
  <si>
    <t xml:space="preserve">Soluția propusă</t>
  </si>
  <si>
    <t xml:space="preserve">Impact estimat</t>
  </si>
  <si>
    <t xml:space="preserve">Distribuție intent dezechilibrată</t>
  </si>
  <si>
    <t xml:space="preserve">50% comercial / 40% informațional / 10% local — vs. ținta 35/40/25. Canibalizare SEO prin „cât costă X" repetitiv; prea puțin conținut educațional care construiește autoritate</t>
  </si>
  <si>
    <t xml:space="preserve">Scoatem 7 articole comerciale duplicate (fuzionăm „cât costă" în 1 ghid mare); adăugăm 7 articole TOFU informaționale; creștem local la 13 articole</t>
  </si>
  <si>
    <t xml:space="preserve">+25% calitate lead</t>
  </si>
  <si>
    <t xml:space="preserve">Lipsă pagini oraș (50 km)</t>
  </si>
  <si>
    <t xml:space="preserve">Codlea, Săcele, Râșnov, Predeal, Zărnești, Bran = 0 articole dedicate. Oriol (competitor Codlea) neprovocat</t>
  </si>
  <si>
    <t xml:space="preserve">Adăugăm 8 pagini locale („firma securitate Codlea", „alarme Săcele pret", „camere supraveghere Predeal cabane" etc.) + GBP-uri satelit</t>
  </si>
  <si>
    <t xml:space="preserve">+30-40% trafic local</t>
  </si>
  <si>
    <t xml:space="preserve">Zero seasonality</t>
  </si>
  <si>
    <t xml:space="preserve">Niciun articol pentru vacanță vară (iunie-iulie), back-to-school (august), Black Friday (nov), iarnă (efracții peak)</t>
  </si>
  <si>
    <t xml:space="preserve">Injectăm 6 articole seasonal: „Securitate casa pe vacanță" (iunie), „Cum protejezi birou firmei vara" (iulie), „Back-to-school cabinet stomato" (aug), „Black Friday 2026 CSSI" (oct), „Efracții iarna — statistici" (nov-dec)</t>
  </si>
  <si>
    <t xml:space="preserve">+15-20% conversie sezon</t>
  </si>
  <si>
    <t xml:space="preserve">Sinergia grupului neexploatată</t>
  </si>
  <si>
    <t xml:space="preserve">Calendar 100% CSSI-only. Zero cross-link Shop Security / Breaksystems. Zero articole bundle (echipament + montaj + detecție gaz industrial)</t>
  </si>
  <si>
    <t xml:space="preserve">Adăugăm 4 articole-hub: „Cumpără kit din Shop-Security + montaj CSSI", „Detecție oxigen industrial — Breaksystems", „Integrare CSSI + Shop Security pentru IMM", „Cum alegi între CSSI și Breaksystems" (decision guide)</t>
  </si>
  <si>
    <t xml:space="preserve">+20% referral trafic între domenii</t>
  </si>
  <si>
    <t xml:space="preserve">Lead magnets inexistente</t>
  </si>
  <si>
    <t xml:space="preserve">52 articole, 0 PDF descărcabile, 0 calculatoare, 0 quiz-uri, 0 newsletter opt-in-uri. Tot traficul iese fără email capture</t>
  </si>
  <si>
    <t xml:space="preserve">Creăm 5 lead magnets: (1) Checklist ISU PDF, (2) Calculator preț sistem integrat, (3) Quiz „Ce sistem de securitate îți trebuie?", (4) Ghid GDPR CCTV PDF, (5) Template auto-evaluare risc firmă</t>
  </si>
  <si>
    <t xml:space="preserve">+300% email captur pe blog</t>
  </si>
  <si>
    <t xml:space="preserve">Micro-geo intra-Brașov zero</t>
  </si>
  <si>
    <t xml:space="preserve">Tractorul, Răcădău, Bartolomeu, Noua, Astra, Centrul Civic = 0 conținut. Local 3-pack dominat de concurenți pe zonă</t>
  </si>
  <si>
    <t xml:space="preserve">Adăugăm 5 articole de cartier (1.200 cuvinte fiecare + ALT pe imagini cu denumiri cartier + LocalBusiness schema cu coordonate)</t>
  </si>
  <si>
    <t xml:space="preserve">+15% Local 3-pack appearances</t>
  </si>
  <si>
    <t xml:space="preserve">Funnel CTA unidimensional</t>
  </si>
  <si>
    <t xml:space="preserve">90% din CTA-uri = „Cere ofertă". Zero CTA pentru TOFU (descarcă ghid), MOFU (comparator, demo video), BOFU (testare gratuită)</t>
  </si>
  <si>
    <t xml:space="preserve">Mapping CTA pe stage: TOFU (PDF/newsletter), MOFU (calculator/quiz/demo video), BOFU (audit / comandă online Shop-Security)</t>
  </si>
  <si>
    <t xml:space="preserve">+40% conversie per stage</t>
  </si>
  <si>
    <t xml:space="preserve">Fără distribuție organic social</t>
  </si>
  <si>
    <t xml:space="preserve">Planul v1 se bazează exclusiv pe SEO. Zero strategie grupuri Facebook, Instagram, TikTok, YouTube, LinkedIn — unde e publicul 40+ din Brașov</t>
  </si>
  <si>
    <t xml:space="preserve">Adăugăm întreg strat social organic: 30 grupuri FB, calendar postări, template-uri, community playbook (vezi sheet-urile dedicate)</t>
  </si>
  <si>
    <t xml:space="preserve">+40-60% awareness local</t>
  </si>
  <si>
    <t xml:space="preserve">RECALIBRARE CALENDAR — schimbări concrete față de v1</t>
  </si>
  <si>
    <t xml:space="preserve">Categorie articole</t>
  </si>
  <si>
    <t xml:space="preserve">Plan v1</t>
  </si>
  <si>
    <t xml:space="preserve">Plan v2 (recomandat)</t>
  </si>
  <si>
    <t xml:space="preserve">Delta</t>
  </si>
  <si>
    <t xml:space="preserve">Informațional (TOFU)</t>
  </si>
  <si>
    <t xml:space="preserve">17 articole</t>
  </si>
  <si>
    <t xml:space="preserve">22 articole (+ 5 lead magnets dedicate)</t>
  </si>
  <si>
    <t xml:space="preserve">+5</t>
  </si>
  <si>
    <t xml:space="preserve">Comercial (BOFU/money)</t>
  </si>
  <si>
    <t xml:space="preserve">25 articole</t>
  </si>
  <si>
    <t xml:space="preserve">18 articole (fuzionăm ghidurile „preț")</t>
  </si>
  <si>
    <t xml:space="preserve">-7</t>
  </si>
  <si>
    <t xml:space="preserve">Local Brașov oraș</t>
  </si>
  <si>
    <t xml:space="preserve">5 articole</t>
  </si>
  <si>
    <t xml:space="preserve">7 articole</t>
  </si>
  <si>
    <t xml:space="preserve">+2</t>
  </si>
  <si>
    <t xml:space="preserve">Local 50 km (orașe)</t>
  </si>
  <si>
    <t xml:space="preserve">0 articole</t>
  </si>
  <si>
    <t xml:space="preserve">8 articole (Codlea, Săcele, Râșnov, Predeal, Zărnești, Bran, Prejmer, Hărman)</t>
  </si>
  <si>
    <t xml:space="preserve">+8</t>
  </si>
  <si>
    <t xml:space="preserve">Micro-geo cartiere Brașov</t>
  </si>
  <si>
    <t xml:space="preserve">5 articole (Tractorul, Răcădău, Bartolomeu, Noua, Astra)</t>
  </si>
  <si>
    <t xml:space="preserve">Seasonal</t>
  </si>
  <si>
    <t xml:space="preserve">6 articole (vacanță, back-to-school, BF, iarnă, 1 dec, 1 mai)</t>
  </si>
  <si>
    <t xml:space="preserve">+6</t>
  </si>
  <si>
    <t xml:space="preserve">Cross-brand grup</t>
  </si>
  <si>
    <t xml:space="preserve">4 articole hub (CSSI + Shop Security + Breaksystems)</t>
  </si>
  <si>
    <t xml:space="preserve">+4</t>
  </si>
  <si>
    <t xml:space="preserve">Vertical Breaksystems (detecție oxigen/ATEX)</t>
  </si>
  <si>
    <t xml:space="preserve">4 articole tehnice publicate pe breaksystems.ro cu link către CSSI</t>
  </si>
  <si>
    <t xml:space="preserve">+4 (alt domeniu)</t>
  </si>
  <si>
    <t xml:space="preserve">TOTAL CSSI.ro</t>
  </si>
  <si>
    <t xml:space="preserve">52 articole</t>
  </si>
  <si>
    <t xml:space="preserve">70 articole (creștem cadența la ~3/săpt. în lunile 3-6)</t>
  </si>
  <si>
    <t xml:space="preserve">+18</t>
  </si>
  <si>
    <t xml:space="preserve">Grupuri Facebook Brașov + 50 km — strategie organic</t>
  </si>
  <si>
    <t xml:space="preserve">30 grupuri țintă, clasificate pe categorie + unghi de conținut + frecvență + abordare admin</t>
  </si>
  <si>
    <t xml:space="preserve">Grup</t>
  </si>
  <si>
    <t xml:space="preserve">Categorie</t>
  </si>
  <si>
    <t xml:space="preserve">Oraș / zonă</t>
  </si>
  <si>
    <t xml:space="preserve">Membri est.</t>
  </si>
  <si>
    <t xml:space="preserve">Fit CSSI</t>
  </si>
  <si>
    <t xml:space="preserve">Frecvență post</t>
  </si>
  <si>
    <t xml:space="preserve">Unghi conținut recomandat</t>
  </si>
  <si>
    <t xml:space="preserve">Warm-up (înainte să postezi)</t>
  </si>
  <si>
    <t xml:space="preserve">Brașov Romania (grup general)</t>
  </si>
  <si>
    <t xml:space="preserve">Comunitate oraș</t>
  </si>
  <si>
    <t xml:space="preserve">50.000+</t>
  </si>
  <si>
    <t xml:space="preserve">1 post/săpt.</t>
  </si>
  <si>
    <t xml:space="preserve">Sfaturi de siguranță cartier, statistici efracții, postări educaționale (fără link direct la serviciu — doar la ghid blog)</t>
  </si>
  <si>
    <t xml:space="preserve">7-10 zile like/comment la alții; DM admin pentru aprobare postări</t>
  </si>
  <si>
    <t xml:space="preserve">Tu din Brașov știi?</t>
  </si>
  <si>
    <t xml:space="preserve">25.000+</t>
  </si>
  <si>
    <t xml:space="preserve">Întrebări incitante („Știați că 60% din efracții Brașov au loc între 10-15?"), apoi răspuns în comentariu cu link la ghid</t>
  </si>
  <si>
    <t xml:space="preserve">5 zile engagement organic</t>
  </si>
  <si>
    <t xml:space="preserve">Locuitorii cartierului Tractorul</t>
  </si>
  <si>
    <t xml:space="preserve">Cartier Brașov</t>
  </si>
  <si>
    <t xml:space="preserve">Tractorul</t>
  </si>
  <si>
    <t xml:space="preserve">8.000</t>
  </si>
  <si>
    <t xml:space="preserve">2 posturi/lună</t>
  </si>
  <si>
    <t xml:space="preserve">Alerte locale efracții (aprobate de admin), videoclipuri instalări în cartier, oferte locale</t>
  </si>
  <si>
    <t xml:space="preserve">Contact admin direct, propune parteneriat</t>
  </si>
  <si>
    <t xml:space="preserve">Cartier Bartolomeu Brașov</t>
  </si>
  <si>
    <t xml:space="preserve">Bartolomeu</t>
  </si>
  <si>
    <t xml:space="preserve">Importanța detecției incendiu în clădiri vechi, upgrade-uri accesibile</t>
  </si>
  <si>
    <t xml:space="preserve">Contact admin</t>
  </si>
  <si>
    <t xml:space="preserve">Răcădău / Noua / Astra (grupuri cartier)</t>
  </si>
  <si>
    <t xml:space="preserve">1-5K fiecare</t>
  </si>
  <si>
    <t xml:space="preserve">1-2 posturi/lună</t>
  </si>
  <si>
    <t xml:space="preserve">Smart home rezidențial, pachete locuință</t>
  </si>
  <si>
    <t xml:space="preserve">Contact admin fiecare</t>
  </si>
  <si>
    <t xml:space="preserve">Mamici Brașov</t>
  </si>
  <si>
    <t xml:space="preserve">Familie/parenti</t>
  </si>
  <si>
    <t xml:space="preserve">12.000+</t>
  </si>
  <si>
    <t xml:space="preserve">2 posturi/săpt.</t>
  </si>
  <si>
    <t xml:space="preserve">Siguranța copiilor: camere nanny GDPR-safe, alarmă casei, senzori ferestre, interfon bloc</t>
  </si>
  <si>
    <t xml:space="preserve">Comentează 2 săpt. la altele; admin DM</t>
  </si>
  <si>
    <t xml:space="preserve">Mamici Codlea</t>
  </si>
  <si>
    <t xml:space="preserve">Codlea</t>
  </si>
  <si>
    <t xml:space="preserve">3.000</t>
  </si>
  <si>
    <t xml:space="preserve">Siguranță copil casă Codlea — acces, camere discrete, integrare telefon</t>
  </si>
  <si>
    <t xml:space="preserve">Părinți Brașov</t>
  </si>
  <si>
    <t xml:space="preserve">Detecție incendiu locuință + planuri evacuare + ISU pentru grădinițe/școli private</t>
  </si>
  <si>
    <t xml:space="preserve">Warm-up 1 săpt.</t>
  </si>
  <si>
    <t xml:space="preserve">Apartamente de vânzare Brașov</t>
  </si>
  <si>
    <t xml:space="preserve">Imobiliare</t>
  </si>
  <si>
    <t xml:space="preserve">20.000+</t>
  </si>
  <si>
    <t xml:space="preserve">CCTV crește valoare apt; proprietari buy-to-let — control acces + alarmă</t>
  </si>
  <si>
    <t xml:space="preserve">Contact admin pt. parteneriat agenții</t>
  </si>
  <si>
    <t xml:space="preserve">Case de vânzare Brașov</t>
  </si>
  <si>
    <t xml:space="preserve">15.000+</t>
  </si>
  <si>
    <t xml:space="preserve">Checklist securitate înainte să vinzi casa; valoare adăugată sistem integrat</t>
  </si>
  <si>
    <t xml:space="preserve">Imobiliare Brașov (general)</t>
  </si>
  <si>
    <t xml:space="preserve">Case noi — preinstalare instalații curenți slabi; landlord smart locks</t>
  </si>
  <si>
    <t xml:space="preserve">Cumpără/Vinde local Brașov</t>
  </si>
  <si>
    <t xml:space="preserve">Buy/Sell</t>
  </si>
  <si>
    <t xml:space="preserve">18.000+</t>
  </si>
  <si>
    <t xml:space="preserve">Promoții lunare (doar acolo unde admin acceptă comercial); kit supraveghere pentru magazine</t>
  </si>
  <si>
    <t xml:space="preserve">Respectă regulile de postare comercială</t>
  </si>
  <si>
    <t xml:space="preserve">Bazar Brașov</t>
  </si>
  <si>
    <t xml:space="preserve">10.000+</t>
  </si>
  <si>
    <t xml:space="preserve">1 post/lună</t>
  </si>
  <si>
    <t xml:space="preserve">Postări test — doar cu aprobare admin</t>
  </si>
  <si>
    <t xml:space="preserve">Warm-up minim 2 săpt.</t>
  </si>
  <si>
    <t xml:space="preserve">Meseriași Brașov</t>
  </si>
  <si>
    <t xml:space="preserve">Construcții</t>
  </si>
  <si>
    <t xml:space="preserve">8.000+</t>
  </si>
  <si>
    <t xml:space="preserve">CSSI ca sub-contractor pentru alți meseriași (electricieni, constructori) — colaborări</t>
  </si>
  <si>
    <t xml:space="preserve">Oferă referral fee către meseriași</t>
  </si>
  <si>
    <t xml:space="preserve">Construiesc în Brașov</t>
  </si>
  <si>
    <t xml:space="preserve">6.000+</t>
  </si>
  <si>
    <t xml:space="preserve">Preinstalare curenți slabi în construcții noi — economisești 40% față de post-renovare</t>
  </si>
  <si>
    <t xml:space="preserve">Activ în comentarii la alții</t>
  </si>
  <si>
    <t xml:space="preserve">Renovări Brașov</t>
  </si>
  <si>
    <t xml:space="preserve">7.000+</t>
  </si>
  <si>
    <t xml:space="preserve">Before/after video CCTV + alarmă după renovare; integrare cu instalații noi</t>
  </si>
  <si>
    <t xml:space="preserve">Warm-up + colaborare arhitecți/designeri</t>
  </si>
  <si>
    <t xml:space="preserve">Amenajări interioare Brașov</t>
  </si>
  <si>
    <t xml:space="preserve">5.000+</t>
  </si>
  <si>
    <t xml:space="preserve">Camere „invisible" estetice, automatizări draperii/iluminat + securitate</t>
  </si>
  <si>
    <t xml:space="preserve">Antreprenori Brașov</t>
  </si>
  <si>
    <t xml:space="preserve">Business</t>
  </si>
  <si>
    <t xml:space="preserve">9.000+</t>
  </si>
  <si>
    <t xml:space="preserve">Sistem alarmă firmă, ROI, studii de caz, pontaj angajați, prevenție atac tâlhărie</t>
  </si>
  <si>
    <t xml:space="preserve">Contact admin pentru parteneriat evenimente</t>
  </si>
  <si>
    <t xml:space="preserve">HoReCa Brașov</t>
  </si>
  <si>
    <t xml:space="preserve">Securitate restaurant/cafenea; sonorizare; pontaj; detecție fum bucătărie; GDPR client</t>
  </si>
  <si>
    <t xml:space="preserve">Warm-up 2 săpt.</t>
  </si>
  <si>
    <t xml:space="preserve">Comerț și Afaceri Brașov</t>
  </si>
  <si>
    <t xml:space="preserve">Magazine, showroom, depozite — CCTV + alarmă + control acces</t>
  </si>
  <si>
    <t xml:space="preserve">Brașov Entrepreneurs (summit audience)</t>
  </si>
  <si>
    <t xml:space="preserve">Thought leadership: „Cum reduci furtul intern", „ROI sistem integrat"</t>
  </si>
  <si>
    <t xml:space="preserve">Propune sesiune vorbit la summit</t>
  </si>
  <si>
    <t xml:space="preserve">Home Assistant Romania</t>
  </si>
  <si>
    <t xml:space="preserve">Smart Home</t>
  </si>
  <si>
    <t xml:space="preserve">Național (cu Brașov dens)</t>
  </si>
  <si>
    <t xml:space="preserve">4.000+</t>
  </si>
  <si>
    <t xml:space="preserve">Integrări open-source cu sisteme profesionale — ghiduri tehnice</t>
  </si>
  <si>
    <t xml:space="preserve">Activ 2 săpt. pe Q&amp;A</t>
  </si>
  <si>
    <t xml:space="preserve">Smart Home Romania</t>
  </si>
  <si>
    <t xml:space="preserve">Național</t>
  </si>
  <si>
    <t xml:space="preserve">Comparativ Matter vs. Zigbee; HomeKit + CCTV profesional</t>
  </si>
  <si>
    <t xml:space="preserve">Activ în discuții</t>
  </si>
  <si>
    <t xml:space="preserve">Codlea — grup oficial/comunitate</t>
  </si>
  <si>
    <t xml:space="preserve">2-3K</t>
  </si>
  <si>
    <t xml:space="preserve">Servicii locale Codlea; preț transparent; studiu caz local</t>
  </si>
  <si>
    <t xml:space="preserve">Contact admin obligatoriu</t>
  </si>
  <si>
    <t xml:space="preserve">Săcele — comunitate</t>
  </si>
  <si>
    <t xml:space="preserve">Săcele</t>
  </si>
  <si>
    <t xml:space="preserve">3K+</t>
  </si>
  <si>
    <t xml:space="preserve">Local: alarme case vechi (Săcele are stoc mare case tradiționale)</t>
  </si>
  <si>
    <t xml:space="preserve">Râșnov — comunitate</t>
  </si>
  <si>
    <t xml:space="preserve">Râșnov</t>
  </si>
  <si>
    <t xml:space="preserve">2K+</t>
  </si>
  <si>
    <t xml:space="preserve">Securitate case vacanță + pensiuni turism</t>
  </si>
  <si>
    <t xml:space="preserve">Predeal oficial</t>
  </si>
  <si>
    <t xml:space="preserve">Predeal</t>
  </si>
  <si>
    <t xml:space="preserve">Securitate cabane și case de vacanță — alarme cu SIM + CCTV off-grid</t>
  </si>
  <si>
    <t xml:space="preserve">Zărnești — comunitate</t>
  </si>
  <si>
    <t xml:space="preserve">Zărnești</t>
  </si>
  <si>
    <t xml:space="preserve">1K+</t>
  </si>
  <si>
    <t xml:space="preserve">Alarme case pensiuni; detecție CO sobe</t>
  </si>
  <si>
    <t xml:space="preserve">Warm-up</t>
  </si>
  <si>
    <t xml:space="preserve">Bran — comunitate</t>
  </si>
  <si>
    <t xml:space="preserve">Bran</t>
  </si>
  <si>
    <t xml:space="preserve">1-2K</t>
  </si>
  <si>
    <t xml:space="preserve">Pensiuni turism: RFID camere, CCTV, detecție incendiu, pontaj</t>
  </si>
  <si>
    <t xml:space="preserve">Poiana Brașov (grupuri turism + vile)</t>
  </si>
  <si>
    <t xml:space="preserve">Turism/vile</t>
  </si>
  <si>
    <t xml:space="preserve">Poiana Brașov</t>
  </si>
  <si>
    <t xml:space="preserve">diverse</t>
  </si>
  <si>
    <t xml:space="preserve">Hotelărie + vile: bundle complet (RFID + bariere parcare + CCTV + HVAC)</t>
  </si>
  <si>
    <t xml:space="preserve">Total grupuri</t>
  </si>
  <si>
    <t xml:space="preserve">Audiență cumulată (est.)</t>
  </si>
  <si>
    <t xml:space="preserve">250.000+ utilizatori unici</t>
  </si>
  <si>
    <t xml:space="preserve">Grupuri P0 (prioritate maximă)</t>
  </si>
  <si>
    <t xml:space="preserve">Calendar social media — 26 săptămâni × 7 posturi/săpt.</t>
  </si>
  <si>
    <t xml:space="preserve">Cadență: 3 posturi Facebook (pagină) + 2 posturi Instagram + 1 TikTok/Reel + 1 LinkedIn + 2-3 posturi în grupuri FB (cu warm-up)</t>
  </si>
  <si>
    <t xml:space="preserve">Temă săptămânii</t>
  </si>
  <si>
    <t xml:space="preserve">Facebook pagină (3x)</t>
  </si>
  <si>
    <t xml:space="preserve">Instagram (2x)</t>
  </si>
  <si>
    <t xml:space="preserve">TikTok/Reel (1x)</t>
  </si>
  <si>
    <t xml:space="preserve">LinkedIn (1x)</t>
  </si>
  <si>
    <t xml:space="preserve">Grupuri FB (2-3x țintite)</t>
  </si>
  <si>
    <t xml:space="preserve">Link blog amplificat</t>
  </si>
  <si>
    <t xml:space="preserve">Lansare: sfaturi generale securitate locuință</t>
  </si>
  <si>
    <t xml:space="preserve">Post 1: Introducere CSSI + echipa | Post 2: 5 mituri despre alarme | Post 3: Video montaj alarmă (30s)</t>
  </si>
  <si>
    <t xml:space="preserve">Reel 1: tur birou CSSI | Reel 2: before/after instalare CCTV casă</t>
  </si>
  <si>
    <t xml:space="preserve">TikTok 15s: „3 semne că ai nevoie de alarmă nouă" (hook visual)</t>
  </si>
  <si>
    <t xml:space="preserve">Post lung: „De ce grupul CSSI + Shop Security + Breaksystems acoperă tot lanțul"</t>
  </si>
  <si>
    <t xml:space="preserve">Brașov Romania: ghid „10 sfaturi pentru siguranța locuinței iarna" | Mamici Brașov: camere nanny GDPR | Tractorul: statistici efracții 2025</t>
  </si>
  <si>
    <t xml:space="preserve">/blog/securitate-locuinta-ghid-complet-2026</t>
  </si>
  <si>
    <t xml:space="preserve">Serviciu săptămânii: ALARME ANTIEFRACȚIE</t>
  </si>
  <si>
    <t xml:space="preserve">Ajax vs Paradox vs DSC (reshare ghid) | Video client review 60s | Infografic „prețuri alarmă 2026"</t>
  </si>
  <si>
    <t xml:space="preserve">Carousel 5 slide: anatomia unui sistem alarmă | Storyset cu Ajax hub</t>
  </si>
  <si>
    <t xml:space="preserve">Reel: cum e detectată o efracție în 1 minut (demo)</t>
  </si>
  <si>
    <t xml:space="preserve">Studiu caz: magazin Coresi protejat 3 ani cu 0 incidente</t>
  </si>
  <si>
    <t xml:space="preserve">Renovări Brașov: „alarmă după renovare cât costă" | Apartamente de vânzare: „alarmă adaugă 3% la valoare"</t>
  </si>
  <si>
    <t xml:space="preserve">/blog/ajax-vs-paradox-vs-dsc-comparatie-alarme</t>
  </si>
  <si>
    <t xml:space="preserve">Serviciu săptămânii: CAMERE SUPRAVEGHERE</t>
  </si>
  <si>
    <t xml:space="preserve">Top 10 camere exterior 2026 | Dezbatere IP vs analog | Tutorial setare aplicație mobil</t>
  </si>
  <si>
    <t xml:space="preserve">Reel demo AI detecție persoane | Carousel NVR vs DVR vs cloud</t>
  </si>
  <si>
    <t xml:space="preserve">Reel: „camera ta te urmărește și pe tine? GDPR explicat în 30s"</t>
  </si>
  <si>
    <t xml:space="preserve">Articol LinkedIn: „CCTV în birouri — 3 greșeli comune"</t>
  </si>
  <si>
    <t xml:space="preserve">HoReCa Brașov: kit supraveghere restaurant | Antreprenori Brașov: ROI CCTV magazin</t>
  </si>
  <si>
    <t xml:space="preserve">/blog/camere-supraveghere-exterior-top-10-2026</t>
  </si>
  <si>
    <t xml:space="preserve">Local Week: Codlea &amp; Săcele</t>
  </si>
  <si>
    <t xml:space="preserve">Post locație Codlea (fotografie + text „suntem și aici") | Client Săcele review | Ofertă locală -10% luna aprilie</t>
  </si>
  <si>
    <t xml:space="preserve">Reel montaj Codlea | Story locație Săcele Google Maps</t>
  </si>
  <si>
    <t xml:space="preserve">TikTok: tur Codlea cu mașina CSSI (60s fun)</t>
  </si>
  <si>
    <t xml:space="preserve">Post LinkedIn: „De ce firmele mici din Codlea aleg sistem integrat"</t>
  </si>
  <si>
    <t xml:space="preserve">Codlea grup: studiu caz casă protejată | Mamici Codlea: „siguranța copilului pe drum spre școală"</t>
  </si>
  <si>
    <t xml:space="preserve">/firma-securitate-brasov-cum-alegi-2026 (variantă Codlea)</t>
  </si>
  <si>
    <t xml:space="preserve">Serviciu săptămânii: DETECȚIE INCENDIE ISU</t>
  </si>
  <si>
    <t xml:space="preserve">De ce ai nevoie aviz ISU | Poveste client evitat amendă | Video testare senzori</t>
  </si>
  <si>
    <t xml:space="preserve">Reel 60s: ce face un proiect ISU aprobat | Carousel „ce documente ai nevoie"</t>
  </si>
  <si>
    <t xml:space="preserve">Reel: „ai aviz ISU? 3 întrebări să te verifici"</t>
  </si>
  <si>
    <t xml:space="preserve">Articol LinkedIn: „ISU pentru IMM — ghid 2026"</t>
  </si>
  <si>
    <t xml:space="preserve">HoReCa Brașov: ISU restaurant | Antreprenori: ISU magazin/depozit</t>
  </si>
  <si>
    <t xml:space="preserve">/blog/autorizare-isu-firma-ghid-pas-cu-pas</t>
  </si>
  <si>
    <t xml:space="preserve">Temă: Securitate pentru sezon turistic</t>
  </si>
  <si>
    <t xml:space="preserve">Pensiuni Bran: studiu caz | Hoteluri Poiana: RFID + bariere | Case vacanță Predeal</t>
  </si>
  <si>
    <t xml:space="preserve">Reel hotel check-in automatizat | Story „ce cer turiștii"</t>
  </si>
  <si>
    <t xml:space="preserve">TikTok: „ce vede o cameră cu AI într-un hotel" (respectă GDPR)</t>
  </si>
  <si>
    <t xml:space="preserve">Post LinkedIn: „Hospitality Brașov — bundle securitate 2026"</t>
  </si>
  <si>
    <t xml:space="preserve">Bran comunitate: pensiuni | Poiana Brașov grupuri turism: hoteluri</t>
  </si>
  <si>
    <t xml:space="preserve">/blog/sistem-integrat-hotel-pensiune-rfid-cctv</t>
  </si>
  <si>
    <t xml:space="preserve">Serviciu săptămânii: CONTROL ACCES &amp; PONTAJ</t>
  </si>
  <si>
    <t xml:space="preserve">Biometric vs card vs mobile | Calculator ROI pontaj | Poveste client</t>
  </si>
  <si>
    <t xml:space="preserve">Reel: diferite tipuri cititoare amprentă | Carousel coworking acces</t>
  </si>
  <si>
    <t xml:space="preserve">Reel: „angajatul uită cardul — ce se întâmplă" (mic scenariu)</t>
  </si>
  <si>
    <t xml:space="preserve">Post LinkedIn: „Control acces multi-tenant — checklist facility manager"</t>
  </si>
  <si>
    <t xml:space="preserve">Antreprenori Brașov: pontaj firmă mică | Construiesc în Brașov: control acces cladire noua</t>
  </si>
  <si>
    <t xml:space="preserve">/blog/control-acces-biometric-pret-modele-2026</t>
  </si>
  <si>
    <t xml:space="preserve">Temă: Vacanța de vară — îți pleci casa?</t>
  </si>
  <si>
    <t xml:space="preserve">Checklist 15 puncte (infografic) | Armare parțială ghid | Simulare prezență smart home</t>
  </si>
  <si>
    <t xml:space="preserve">Reel travel mode alarmă | Story „ai activat notificările?"</t>
  </si>
  <si>
    <t xml:space="preserve">TikTok viral potential: „hoți de vară — unde se uită primii" (tip cu umor)</t>
  </si>
  <si>
    <t xml:space="preserve">Post LinkedIn: „firme închise vara — risc subestimat"</t>
  </si>
  <si>
    <t xml:space="preserve">Mamici Brașov: „siguranța casei în vacanță" | Case vacanță Predeal: alarmă SIM</t>
  </si>
  <si>
    <t xml:space="preserve">/blog/securitate-locuinta-vacanta-checklist-2026</t>
  </si>
  <si>
    <t xml:space="preserve">Local Week: Râșnov &amp; Zărnești</t>
  </si>
  <si>
    <t xml:space="preserve">Client Râșnov pensiune | Cabana Zărnești protejată | Ofertă locală</t>
  </si>
  <si>
    <t xml:space="preserve">Reel peisaj + instalare | Story „azi în Râșnov"</t>
  </si>
  <si>
    <t xml:space="preserve">TikTok: tur castel Râșnov + branded mașină CSSI</t>
  </si>
  <si>
    <t xml:space="preserve">Post LinkedIn: „pensiuni montane — ce cer turiștii"</t>
  </si>
  <si>
    <t xml:space="preserve">Râșnov comunitate | Zărnești comunitate</t>
  </si>
  <si>
    <t xml:space="preserve">/firma-securitate-brasov-cum-alegi-2026 (variantă Râșnov/Zărnești)</t>
  </si>
  <si>
    <t xml:space="preserve">Serviciu săptămânii: AUTOMATIZĂRI PORȚI</t>
  </si>
  <si>
    <t xml:space="preserve">Poartă glisantă vs batantă | Prețuri 2026 | Timp instalare 48h</t>
  </si>
  <si>
    <t xml:space="preserve">Reel montaj poartă (timelapse) | Story: testare motor NICE</t>
  </si>
  <si>
    <t xml:space="preserve">TikTok: „poarta se deschide singură" — wow factor</t>
  </si>
  <si>
    <t xml:space="preserve">Post LinkedIn: „logistică: bariere parcare industrial"</t>
  </si>
  <si>
    <t xml:space="preserve">Construiesc în Brașov | Renovări | Meseriași Brașov</t>
  </si>
  <si>
    <t xml:space="preserve">/blog/automatizare-poarta-glisanta-preturi-kituri-2026</t>
  </si>
  <si>
    <t xml:space="preserve">Temă: AI în securitate</t>
  </si>
  <si>
    <t xml:space="preserve">Camere AI explicate | Detecție plăcuțe | Counting oameni retail</t>
  </si>
  <si>
    <t xml:space="preserve">Reel AI loitering demo | Carousel „ce poate AI-ul"</t>
  </si>
  <si>
    <t xml:space="preserve">TikTok: „AI-ul a prins un hoț" (storytelling client)</t>
  </si>
  <si>
    <t xml:space="preserve">Post LinkedIn: „AI + CCTV — hype sau util?"</t>
  </si>
  <si>
    <t xml:space="preserve">Smart Home Romania: integrare AI | Antreprenori: loss prevention</t>
  </si>
  <si>
    <t xml:space="preserve">/blog/camere-supraveghere-ai-detectie-inteligenta</t>
  </si>
  <si>
    <t xml:space="preserve">Cross-brand: grupul în acțiune</t>
  </si>
  <si>
    <t xml:space="preserve">De ce 3 branduri | Shop Security catalog highlight | Breaksystems detecție oxigen</t>
  </si>
  <si>
    <t xml:space="preserve">Reel 3-in-1 team photo | Carousel care brand pentru ce</t>
  </si>
  <si>
    <t xml:space="preserve">TikTok: „vinzi, montezi, și industrial — cum funcționează un grup"</t>
  </si>
  <si>
    <t xml:space="preserve">Post LinkedIn: „structură grup CSSI — avantaj client"</t>
  </si>
  <si>
    <t xml:space="preserve">Home Assistant RO: DIY + profesional | Antreprenori: integrator unic</t>
  </si>
  <si>
    <t xml:space="preserve">/despre-noi + landing grup nouă</t>
  </si>
  <si>
    <t xml:space="preserve">Temă: GDPR &amp; conformitate</t>
  </si>
  <si>
    <t xml:space="preserve">5 greșeli GDPR CCTV firmă | Amenzi recente ANSPDCP | Checklist 7 pași</t>
  </si>
  <si>
    <t xml:space="preserve">Reel „notifică vizitatorul" | Carousel „ce trebuie pe panoul informativ"</t>
  </si>
  <si>
    <t xml:space="preserve">TikTok: „ai cameră acasă? GDPR te afectează?" — mit-debunking</t>
  </si>
  <si>
    <t xml:space="preserve">Post LinkedIn: „GDPR 2026 — ce e nou pentru CCTV"</t>
  </si>
  <si>
    <t xml:space="preserve">HoReCa: GDPR client | Mamici: GDPR camera nanny</t>
  </si>
  <si>
    <t xml:space="preserve">/blog/gdpr-camere-supraveghere-firma-checklist-2026</t>
  </si>
  <si>
    <t xml:space="preserve">Local Week: Predeal &amp; Bran</t>
  </si>
  <si>
    <t xml:space="preserve">Cabana Predeal | Pensiune Bran | Case vacanță ghid</t>
  </si>
  <si>
    <t xml:space="preserve">Reel „cabana protejată iarna" | Story „azi montăm în Predeal"</t>
  </si>
  <si>
    <t xml:space="preserve">TikTok: „cabana mea se hackuiește? Răspuns tehnic"</t>
  </si>
  <si>
    <t xml:space="preserve">Post LinkedIn: „case vacanță — ce se strică când lipsesti"</t>
  </si>
  <si>
    <t xml:space="preserve">Predeal grup | Bran comunitate | Mamici (case vacanță)</t>
  </si>
  <si>
    <t xml:space="preserve">/blog/automatizare-poarta-solara-viabilitate-romania</t>
  </si>
  <si>
    <t xml:space="preserve">Serviciu săptămânii: INTERFOANE &amp; VIDEOINTERFOANE</t>
  </si>
  <si>
    <t xml:space="preserve">IP vs analog interfon | Cum alegi videointerfon pt. bloc | Cost per apartament</t>
  </si>
  <si>
    <t xml:space="preserve">Reel „te uiți la ușă de pe telefon" | Carousel modele Akuvox/Hikvision</t>
  </si>
  <si>
    <t xml:space="preserve">TikTok: „interfonul din bloc — istorie 90-2026"</t>
  </si>
  <si>
    <t xml:space="preserve">Post LinkedIn: „clădiri birouri multi-tenant — interfoane cu acces"</t>
  </si>
  <si>
    <t xml:space="preserve">Apartamente de vânzare Brașov | Asociații de proprietari</t>
  </si>
  <si>
    <t xml:space="preserve">/blog/videointerfon-ip-vs-analog-comparatie-2026</t>
  </si>
  <si>
    <t xml:space="preserve">Temă: Back-to-school siguranță</t>
  </si>
  <si>
    <t xml:space="preserve">Cabinet stomato/medical — ISU + GDPR | Grădiniță privată — alarmă + CCTV | Afters-chool</t>
  </si>
  <si>
    <t xml:space="preserve">Reel „drumul copilului spre școală" | Story „cabinet pediatru ISU"</t>
  </si>
  <si>
    <t xml:space="preserve">TikTok: „de ce o grădiniță trebuie să aibă detectoare de fum"</t>
  </si>
  <si>
    <t xml:space="preserve">Post LinkedIn: „unități educaționale private — risc juridic fără ISU"</t>
  </si>
  <si>
    <t xml:space="preserve">Mamici Brașov | Părinți Brașov | Antreprenori (cabinete)</t>
  </si>
  <si>
    <t xml:space="preserve">/blog/sistem-securitate-clinica-privata-gdpr-isu</t>
  </si>
  <si>
    <t xml:space="preserve">Serviciu săptămânii: SISTEM INTEGRAT</t>
  </si>
  <si>
    <t xml:space="preserve">De ce „totul într-un pachet" | Calculator bundle | Studiu caz integrator unic</t>
  </si>
  <si>
    <t xml:space="preserve">Reel montaj integrat 60s | Carousel componente</t>
  </si>
  <si>
    <t xml:space="preserve">TikTok: „10 sisteme diferite vs 1 sistem" (split screen)</t>
  </si>
  <si>
    <t xml:space="preserve">Post LinkedIn: „Integrator vs. 10 furnizori — math-ul real"</t>
  </si>
  <si>
    <t xml:space="preserve">Antreprenori Brașov | Comerț și Afaceri Brașov</t>
  </si>
  <si>
    <t xml:space="preserve">/blog/sistem-integrat-fabrica-cctv-isu-pontaj</t>
  </si>
  <si>
    <t xml:space="preserve">Temă: Securitate pentru clinici &amp; medical</t>
  </si>
  <si>
    <t xml:space="preserve">ISU + GDPR dublu | Detecție oxigen rezervoare | Control acces medicamente</t>
  </si>
  <si>
    <t xml:space="preserve">Reel „clinică privată tur" | Carousel GDPR pacient</t>
  </si>
  <si>
    <t xml:space="preserve">TikTok: „de ce clinica are nevoie de ISU + detecție oxigen"</t>
  </si>
  <si>
    <t xml:space="preserve">Post LinkedIn: „medical Brașov — 3 riscuri pe care nimeni nu vi le spune"</t>
  </si>
  <si>
    <t xml:space="preserve">Părinți Brașov | Antreprenori (medici)</t>
  </si>
  <si>
    <t xml:space="preserve">Local Week: cartiere Brașov</t>
  </si>
  <si>
    <t xml:space="preserve">Tractorul client | Răcădău instalare | Astra video tour</t>
  </si>
  <si>
    <t xml:space="preserve">Reel „azi în Tractorul" | Story „Răcădău next"</t>
  </si>
  <si>
    <t xml:space="preserve">TikTok: „Brașov pe cartiere — unde e cel mai sigur?" (fun stats)</t>
  </si>
  <si>
    <t xml:space="preserve">Post LinkedIn: „micro-SEO cartiere — strategie 2026"</t>
  </si>
  <si>
    <t xml:space="preserve">Tractorul | Răcădău | Bartolomeu | Noua</t>
  </si>
  <si>
    <t xml:space="preserve">Pagini cartier dedicate</t>
  </si>
  <si>
    <t xml:space="preserve">Serviciu săptămânii: HVAC + SECURITATE</t>
  </si>
  <si>
    <t xml:space="preserve">De ce HVAC + securitate la același furnizor | AC inverter 2026 | Ventilație casa pasivă</t>
  </si>
  <si>
    <t xml:space="preserve">Reel „un singur contract, toată instalația" | Carousel randament VMC</t>
  </si>
  <si>
    <t xml:space="preserve">TikTok: „hot in hall — cold in bucătărie, cum rezolvi"</t>
  </si>
  <si>
    <t xml:space="preserve">Post LinkedIn: „servicii bundled — TCO real"</t>
  </si>
  <si>
    <t xml:space="preserve">Construiesc în Brașov | Renovări Brașov</t>
  </si>
  <si>
    <t xml:space="preserve">/blog/aer-conditionat-inverter-top-branduri-2026</t>
  </si>
  <si>
    <t xml:space="preserve">Temă: Prevenție furt intern</t>
  </si>
  <si>
    <t xml:space="preserve">Pontaj + CCTV = accountability | Ridicări marfa parcare | Safe drop benzinărie</t>
  </si>
  <si>
    <t xml:space="preserve">Reel „o zi la depozit" | Carousel safe drop</t>
  </si>
  <si>
    <t xml:space="preserve">TikTok: „cum prinzi un furt intern fără să acuzi pe nimeni"</t>
  </si>
  <si>
    <t xml:space="preserve">Post LinkedIn: „shrinkage în retail — numere reale"</t>
  </si>
  <si>
    <t xml:space="preserve">Comerț și Afaceri | HoReCa | Antreprenori</t>
  </si>
  <si>
    <t xml:space="preserve">/blog/sistem-securitate-depozit-logistica-ghid</t>
  </si>
  <si>
    <t xml:space="preserve">Serviciu săptămânii: USA GARAJ + PORȚI</t>
  </si>
  <si>
    <t xml:space="preserve">Sectionata vs basculanta | Hormann vs Nice vs Novoferm | Timp montaj</t>
  </si>
  <si>
    <t xml:space="preserve">Reel „poarta se deschide la distanță" | Carousel modele</t>
  </si>
  <si>
    <t xml:space="preserve">TikTok: „poarta de garaj cade — cum reacționează motor modern"</t>
  </si>
  <si>
    <t xml:space="preserve">Post LinkedIn: „poarta industrială — criterii alegere"</t>
  </si>
  <si>
    <t xml:space="preserve">Construiesc | Renovări | Imobiliare (case noi)</t>
  </si>
  <si>
    <t xml:space="preserve">/blog/usa-garaj-automata-sectionata-basculanta-preturi</t>
  </si>
  <si>
    <t xml:space="preserve">Local Week: Făgăraș &amp; Victoria</t>
  </si>
  <si>
    <t xml:space="preserve">Client Făgăraș | Pensiune Victoria | Ofertă extinsă 50+ km</t>
  </si>
  <si>
    <t xml:space="preserve">Reel drum Brașov-Făgăraș | Story „azi la Făgăraș"</t>
  </si>
  <si>
    <t xml:space="preserve">TikTok: „drumul spre Făgăraș cu echipa CSSI"</t>
  </si>
  <si>
    <t xml:space="preserve">Post LinkedIn: „extindere geografică — lessons learned"</t>
  </si>
  <si>
    <t xml:space="preserve">Făgăraș (dacă există) | Victoria</t>
  </si>
  <si>
    <t xml:space="preserve">Pagina locală Făgăraș</t>
  </si>
  <si>
    <t xml:space="preserve">Temă: Black Friday CSSI 2026</t>
  </si>
  <si>
    <t xml:space="preserve">Ofertă 1: alarmă completă | Ofertă 2: CCTV 4 camere + montaj | Ofertă 3: bundle smart home</t>
  </si>
  <si>
    <t xml:space="preserve">Reel countdown 7-6-5 zile | Story „azi 20%, mâine 30%"</t>
  </si>
  <si>
    <t xml:space="preserve">TikTok: „ce iei de Black Friday la CSSI?"</t>
  </si>
  <si>
    <t xml:space="preserve">Post LinkedIn: „Black Friday B2B — sisteme integrate -15%"</t>
  </si>
  <si>
    <t xml:space="preserve">Cumpără/Vinde local | Bazar | Apartamente</t>
  </si>
  <si>
    <t xml:space="preserve">Landing /black-friday-2026</t>
  </si>
  <si>
    <t xml:space="preserve">Temă: Pregătire iarnă — efracții peak</t>
  </si>
  <si>
    <t xml:space="preserve">Statistici efracții iarnă | Cum armezi corect | Senzori „vibrație fereastră"</t>
  </si>
  <si>
    <t xml:space="preserve">Reel „iarna hoțul vede ce-i nou" | Carousel checklist iarnă</t>
  </si>
  <si>
    <t xml:space="preserve">TikTok: „hoții aleg iarna — iată de ce"</t>
  </si>
  <si>
    <t xml:space="preserve">Post LinkedIn: „sezonalitate furturi — ce fac firmele"</t>
  </si>
  <si>
    <t xml:space="preserve">Brașov Romania | Mamici | Părinți</t>
  </si>
  <si>
    <t xml:space="preserve">/blog/false-alarme-sistem-antiefractie-prevenire</t>
  </si>
  <si>
    <t xml:space="preserve">Bilanț 2026 + privire 2027</t>
  </si>
  <si>
    <t xml:space="preserve">Tendințe 2027: AI + 5G + Matter | Thank you client 2026 | CTA abonament CSSI Care</t>
  </si>
  <si>
    <t xml:space="preserve">Reel recap an | Carousel top 5 proiecte 2026</t>
  </si>
  <si>
    <t xml:space="preserve">TikTok: „2026 vs 2027 în securitate — ce se schimbă"</t>
  </si>
  <si>
    <t xml:space="preserve">Post LinkedIn: „predicții securitate 2027 — Brașov"</t>
  </si>
  <si>
    <t xml:space="preserve">Toate grupurile majore (P0)</t>
  </si>
  <si>
    <t xml:space="preserve">/blog/bilant-2026-tendinte-securitate-2027</t>
  </si>
  <si>
    <t xml:space="preserve">Biblioteca de template-uri — postări gata de adaptat</t>
  </si>
  <si>
    <t xml:space="preserve">Tip template</t>
  </si>
  <si>
    <t xml:space="preserve">Text post (gata de adaptat)</t>
  </si>
  <si>
    <t xml:space="preserve">Unde funcționează</t>
  </si>
  <si>
    <t xml:space="preserve">1. ALERTĂ CARTIER (grup cartier)</t>
  </si>
  <si>
    <t xml:space="preserve">🚨 [Cartier], alertă vecini:
În ultimele [X] zile au fost raportate [N] efracții pe [strada/zona]. Dacă plecați de acasă chiar și pentru 2 ore, verificați aceste 3 lucruri:
✅ Armare parțială pe senzori ferestre
✅ Notificare push pe telefon activă
✅ Cartela SIM dual-path (nu doar WiFi)
Avem ghid complet gratuit (fără obligație): [link blog]
Dacă vreți să venim să verificăm sistemul vostru — răspundem în 48h la DM.
— CSSI (suntem în Brașov de peste 20 ani, 8.700+ proiecte)</t>
  </si>
  <si>
    <t xml:space="preserve">Postare în: Tractorul, Răcădău, Bartolomeu, Astra, Noua. Cere admin aprobare.</t>
  </si>
  <si>
    <t xml:space="preserve">2. MIT-DEBUNKING (grup larg)</t>
  </si>
  <si>
    <t xml:space="preserve">💡 Mit vs. realitate — Sistemul tău de alarmă
Mit: „Alarma cu WiFi e de ajuns"
Realitate: Dacă hoțul taie curent + tulbură WiFi, rămâi descoperit. Soluția: dual-path (WiFi + cartelă SIM + baterie de rezervă 24h).
Mit: „Sirena e suficientă — hoții fug"
Realitate: În 60% din cazuri, sirena alertează doar vecinii. Fără monitorizare 24/7, intervenția întârzie ore.
CSSI are un ghid gratuit cu cele 10 mituri cele mai comune despre alarme + soluțiile: [link]</t>
  </si>
  <si>
    <t xml:space="preserve">Facebook pagină + Brașov Romania + Tu din Brașov știi?</t>
  </si>
  <si>
    <t xml:space="preserve">3. BEFORE/AFTER VIDEO REEL</t>
  </si>
  <si>
    <t xml:space="preserve">Descriere (caption):
Azi am terminat un proiect de 2 zile într-o casă din [cartier/oraș]. Fam [inițială] avea 3 probleme:
❌ Camere vechi analog cu cablu peste grinzi
❌ Alarmă fără cartelă SIM
❌ Niciun senzor pe fereastra de la baie (!)
Rezultat (vezi video): 6 camere IP 4K cu AI, alarmă dual-path, 12 senzori, interfon IP cu telefon. Totul integrat, totul discret.
Vrei și tu să vezi cum arată casa ta? Răspundem la ofertă în 24h: cssi.ro</t>
  </si>
  <si>
    <t xml:space="preserve">Instagram Reel + Facebook Reel + TikTok (15-30s). CTA în comentariu</t>
  </si>
  <si>
    <t xml:space="preserve">4. POVESTE CLIENT (testimonial)</t>
  </si>
  <si>
    <t xml:space="preserve">🎯 „În 2 minute, alarma a chemat echipajul. În 7 minute, poliția era aici. Nu s-a pierdut nimic."
— Dana M., proprietar cabinet stomatologic, Brașov
Când am instalat sistemul Danei, nu puteam garanta că se va întâmpla ceva. Ce putem garanta este că dacă se întâmplă, răspunsul e rapid.
Vrei să ai același răspuns rapid? Noi facem proiectul, echipamentul e de la grupul nostru (Shop-Security.ro), iar monitorizarea e 24/7.
👉 Cere evaluarea gratuită în DM sau pe cssi.ro</t>
  </si>
  <si>
    <t xml:space="preserve">Toate canalele. Cu acordul clientului + fotografie reală (sau avatar dacă cere anonimat)</t>
  </si>
  <si>
    <t xml:space="preserve">5. EDUCAȚIONAL (fără sell)</t>
  </si>
  <si>
    <t xml:space="preserve">📚 Cum alegi primul sistem de securitate (ghid rapid)
1️⃣ Scrie pe o foaie tot ce vrei să protejezi (casă, mașină, curte)
2️⃣ Împarte în 3 zone: perimetru, intrări, interior
3️⃣ Pentru fiecare zonă: câte senzori/camere/încuietori?
4️⃣ Adaugă integrare cu telefon (obligatoriu)
5️⃣ Verifică ca furnizorul să aibă aviz ISU (pentru firme)
Dacă vrei un checklist PDF complet (15 puncte) fără să ne contactezi, trimitem gratuit pe email: link în bio / comentariu</t>
  </si>
  <si>
    <t xml:space="preserve">Toate grupurile educaționale. Leadmagnet pt. PDF</t>
  </si>
  <si>
    <t xml:space="preserve">6. ÎNTREBARE (engagement-bait)</t>
  </si>
  <si>
    <t xml:space="preserve">🧠 Întrebare pentru vecinii din [oraș/cartier]:
Dacă ai avea 2.500 RON să îmbunătățești securitatea casei, pe ce ai cheltui?
A) Alarmă perimetrală
B) 4 camere CCTV exterior
C) Smart lock + interfon IP
D) Toate 3 (divide buget)
Comentează litera + un motiv. Vineri publicăm ce ar alege specialistul CSSI și de ce.</t>
  </si>
  <si>
    <t xml:space="preserve">Facebook pagină + grupuri cartier. Urmărește engagementul, follow-up cu postul de răspuns.</t>
  </si>
  <si>
    <t xml:space="preserve">7. ALERTĂ LEGISLATIVĂ (B2B)</t>
  </si>
  <si>
    <t xml:space="preserve">⚠️ Antreprenori din Brașov: aveți aviz ISU actualizat?
Din [lună] 2026, inspectorii ISU Brașov au crescut frecvența controalelor. Amenzi recente între 20.000 — 60.000 RON.
Si nu sunt doar cluburi și restaurante. Se verifică: depozite, cabinete medicale, spații birouri peste anumit metraj, showroom-uri.
Avem consultanță gratuită de verificare documentație. Răspundem în 24h. DM sau cssi.ro.</t>
  </si>
  <si>
    <t xml:space="preserve">HoReCa Brașov + Antreprenori Brașov + Comerț și Afaceri</t>
  </si>
  <si>
    <t xml:space="preserve">8. SEASONAL — vacanță</t>
  </si>
  <si>
    <t xml:space="preserve">☀️ Vara e aici. Casa ta e pregătită?
Statistici Poliția Brașov 2025: 60% din efracții au loc în iulie-august, în mediul între 10:00-14:00, când toată lumea e plecată.
Checkist minimal înainte să pleci în vacanță:
• Armare parțială pe senzori + simulare prezență (smart home)
• Notificări push pe telefon + partajate cu un vecin
• Verificare baterie alarmă (cea mai comună cauză de falsă pace)
• SIM dual-path activ (nu doar WiFi)
Poți descarcă checklistul complet de 15 puncte (PDF, gratuit): [link]</t>
  </si>
  <si>
    <t xml:space="preserve">Mamici + Părinți + Brașov Romania + case de vacanță</t>
  </si>
  <si>
    <t xml:space="preserve">9. CROSS-BRAND grup</t>
  </si>
  <si>
    <t xml:space="preserve">🔄 Cum funcționează grupul nostru — un singur contact, 3 expertize
🟢 CSSI (cssi.ro): tot ce se montează în Brașov + 50 km. Integrator complet — de la alarmă la HVAC.
🟠 Shop-Security.ro: catalog online echipamente — cumperi cu livrare rapidă, montaj oriunde în țară.
🔵 Breaksystems.ro: detecție incendiu industrial + detecție oxigen/ATEX — pentru hale, fabrici, spații speciale.
Vrei echipamente? Shop-Security. Vrei montaj Brașov? CSSI. Ai o hală cu atmosferă explozivă? Breaksystems.
Un singur apel, 3 soluții potrivite.</t>
  </si>
  <si>
    <t xml:space="preserve">Facebook pagină + LinkedIn. Rare în grupuri (doar după warm-up)</t>
  </si>
  <si>
    <t xml:space="preserve">10. STUDIU DE CAZ DETALIAT</t>
  </si>
  <si>
    <t xml:space="preserve">📊 Studiu de caz: Cum a scăzut furtul intern cu 80% la un depozit din Prejmer
Problema: 15% din marfă dispărea anual (aprox. 180.000 RON)
Diagnostic CSSI: fără CCTV la pod, fără pontaj electronic, fără control acces noaptea
Ce am făcut:
✅ 8 camere AI cu detecție loitering
✅ Control acces biometric cu log detailed
✅ Pontaj electronic integrat cu sistemul de salarizare
✅ Alarmă cu patrulă privată (3 min răspuns)
Rezultat după 6 luni:
→ Furt intern scăzut de la 15% la 3% (-80%)
→ Economie anuală: 144.000 RON
→ ROI investiție: 5 luni
Vrei același tip de audit pentru depozitul tău? cssi.ro</t>
  </si>
  <si>
    <t xml:space="preserve">LinkedIn + Facebook pagină + Antreprenori Brașov</t>
  </si>
  <si>
    <t xml:space="preserve">11. Q&amp;A LIVE anunț</t>
  </si>
  <si>
    <t xml:space="preserve">🎙️ Marți, 20:00 — Q&amp;A live cu expertul CSSI
Tema: „Cum NU te înșeli când alegi sistemul de securitate (și ce să întrebi furnizorul)"
Poți pune întrebări în avans în comentarii. Răspundem în live + publicăm rezumat marți seara.
Exemple întrebări (inspiră-te):
— „Am bloc din 1985 — ce interfon să pun?"
— „GDPR pentru camera din magazinul meu?"
— „Ce SIM card se recomandă pentru alarmă?"</t>
  </si>
  <si>
    <t xml:space="preserve">Facebook pagină + Instagram. Cross-post în grupuri mari pentru vizibilitate</t>
  </si>
  <si>
    <t xml:space="preserve">12. TIP DIY vs. PROFESIONAL (fără atac)</t>
  </si>
  <si>
    <t xml:space="preserve">🔧 DIY smart home vs. integrare profesională — când alegi fiecare?
DIY e ok dacă:
✔️ Ai buget mic (sub 2.000 RON)
✔️ Ai o singură casă mică
✔️ Nu ai nevoie de aviz ISU
✔️ Îți place să te joci cu aplicații
Profesional e obligatoriu dacă:
✔️ Ai firmă (aviz ISU, GDPR, pontaj)
✔️ Clădire peste 150 mp
✔️ Vrei monitorizare 24/7
✔️ Ai asigurare (cer sistem avizat)
Nu e rivalitate — sunt nevoi diferite. Dacă nu ești sigur unde ești, întreabă-ne în DM. 2 minute consultanță gratuită.</t>
  </si>
  <si>
    <t xml:space="preserve">Home Assistant Romania + Smart Home Romania</t>
  </si>
  <si>
    <t xml:space="preserve">Strategie pe canale (non-Facebook grupuri)</t>
  </si>
  <si>
    <t xml:space="preserve">Canal</t>
  </si>
  <si>
    <t xml:space="preserve">Audiență RO 2026 + relevanță CSSI</t>
  </si>
  <si>
    <t xml:space="preserve">Cadență recomandată</t>
  </si>
  <si>
    <t xml:space="preserve">Tipuri de conținut care funcționează</t>
  </si>
  <si>
    <t xml:space="preserve">KPI principal</t>
  </si>
  <si>
    <t xml:space="preserve">Facebook pagină</t>
  </si>
  <si>
    <t xml:space="preserve">~75% din adulții 35+ folosesc FB zilnic. Audiența core CSSI (proprietari de locuință + antreprenori IMM) e aici masiv</t>
  </si>
  <si>
    <t xml:space="preserve">3 posturi/săpt. + 4-6 story/săpt. + 1 Reel/săpt.</t>
  </si>
  <si>
    <t xml:space="preserve">Povești client, before/after, ghiduri scurte, oferte, live Q&amp;A lunar, album proiecte finalizate</t>
  </si>
  <si>
    <t xml:space="preserve">Reach organic + lead formular</t>
  </si>
  <si>
    <t xml:space="preserve">Facebook grupuri</t>
  </si>
  <si>
    <t xml:space="preserve">Engagement 10x peste postări pagină. Grupurile locale Brașov au afinitate mare pentru mesaje locale</t>
  </si>
  <si>
    <t xml:space="preserve">8-12 posturi țintite/săpt. distribuite în 30 grupuri (vezi sheet dedicat)</t>
  </si>
  <si>
    <t xml:space="preserve">Alerte vecini, mit-debunking, întrebări deschise, studii de caz locale, educațional — niciodată spam</t>
  </si>
  <si>
    <t xml:space="preserve">DM-uri primite + comentarii + clickuri blog</t>
  </si>
  <si>
    <t xml:space="preserve">Instagram</t>
  </si>
  <si>
    <t xml:space="preserve">Engagement 0.48% avg. Mai puternic la 25-44. Bun pentru brand premium + clienți hotel/clinici/retail</t>
  </si>
  <si>
    <t xml:space="preserve">2 posturi + 3-5 story/zi + 2 Reels/săpt.</t>
  </si>
  <si>
    <t xml:space="preserve">Reels before/after 30s, behind-the-scenes echipa, fotografii instalări, carousel educațional, highlight servicii</t>
  </si>
  <si>
    <t xml:space="preserve">Followers + DM + swipe-up spre blog</t>
  </si>
  <si>
    <t xml:space="preserve">TikTok</t>
  </si>
  <si>
    <t xml:space="preserve">Engagement 3.7%, cea mai mare rată. Audiență tânără dar explodează 25-34 (antreprenori tineri, părinți noi)</t>
  </si>
  <si>
    <t xml:space="preserve">2-3 clipuri/săpt. (15-60s)</t>
  </si>
  <si>
    <t xml:space="preserve">Mit-debunking vizual, demo rapide, storytelling efracții (respectuos), tendințe tech explicate simplu, umor cu tehnologie</t>
  </si>
  <si>
    <t xml:space="preserve">Views + follows + click-link-in-bio</t>
  </si>
  <si>
    <t xml:space="preserve">YouTube (canal)</t>
  </si>
  <si>
    <t xml:space="preserve">Dominant pe search „cum se face". Long-tail SEO perpetuu. Video indexat de Google în SERP</t>
  </si>
  <si>
    <t xml:space="preserve">1 video lung/săpt. (5-12 min) + 2-3 shorts/săpt.</t>
  </si>
  <si>
    <t xml:space="preserve">Tutoriale montaj, review-uri echipamente, ghiduri ISU, studii de caz lungi, interviuri clienți, playlists pe cluster</t>
  </si>
  <si>
    <t xml:space="preserve">Watch time + subscribers + traffic spre site</t>
  </si>
  <si>
    <t xml:space="preserve">YouTube Shorts</t>
  </si>
  <si>
    <t xml:space="preserve">Multiplicator pentru TikTok content. RO caută tot mai mult aici</t>
  </si>
  <si>
    <t xml:space="preserve">3 shorts/săpt. (repurpose din TikTok + conținut nou vertical)</t>
  </si>
  <si>
    <t xml:space="preserve">Re-publicare TikTok-urilor + conținut exclusiv vertical + hook-uri informaționale</t>
  </si>
  <si>
    <t xml:space="preserve">Views + conversie la canal lung</t>
  </si>
  <si>
    <t xml:space="preserve">LinkedIn</t>
  </si>
  <si>
    <t xml:space="preserve">B2B critic. Facility managers, HR directors, antreprenori mid-market Brașov sunt aici</t>
  </si>
  <si>
    <t xml:space="preserve">3 posturi/săpt. (1 thought leadership + 1 studiu caz + 1 update proiect)</t>
  </si>
  <si>
    <t xml:space="preserve">Articole lungi (600-1000 cuvinte), studii de caz B2B, polls despre securitate firmă, comentarii la postări cluster auto Brașov</t>
  </si>
  <si>
    <t xml:space="preserve">Connection requests relevante + InMail-uri</t>
  </si>
  <si>
    <t xml:space="preserve">Google Business Profile</t>
  </si>
  <si>
    <t xml:space="preserve">Local SEO map pack — câștigi sau pierzi vizibilitate locală aici</t>
  </si>
  <si>
    <t xml:space="preserve">3 posturi/săpt. (offer, update, event), 20+ fotografii noi/lună, răspuns la 100% reviews în 24h</t>
  </si>
  <si>
    <t xml:space="preserve">Fotografii proiecte locale, oferte speciale, postări Q&amp;A, răspunsuri la review, minor events</t>
  </si>
  <si>
    <t xml:space="preserve">Apeluri + direcții + vizualizări profil</t>
  </si>
  <si>
    <t xml:space="preserve">YouTube playlists ca blog asset</t>
  </si>
  <si>
    <t xml:space="preserve">Fiecare cluster de conținut blog ar trebui să aibă playlist YT dedicat (video-uri însoțitoare)</t>
  </si>
  <si>
    <t xml:space="preserve">1 playlist pe cluster, actualizat lunar</t>
  </si>
  <si>
    <t xml:space="preserve">Video „partener" pentru articolele blog — embed în articol, crește dwell time, ranking organic</t>
  </si>
  <si>
    <t xml:space="preserve">Average view duration + referrals spre blog</t>
  </si>
  <si>
    <t xml:space="preserve">Email newsletter</t>
  </si>
  <si>
    <t xml:space="preserve">Canal proprietar — nu depinzi de algoritm</t>
  </si>
  <si>
    <t xml:space="preserve">1 newsletter bilunar (2x/lună)</t>
  </si>
  <si>
    <t xml:space="preserve">Sumar articole noi blog, oferta lunii, studiu caz lung, tips sezonale</t>
  </si>
  <si>
    <t xml:space="preserve">Open rate + CTR + lead-uri noi</t>
  </si>
  <si>
    <t xml:space="preserve">WhatsApp / Viber (broadcast)</t>
  </si>
  <si>
    <t xml:space="preserve">Canal deschis pt. clienți existenți și grupuri mici de vecini</t>
  </si>
  <si>
    <t xml:space="preserve">1 mesaj/lună (nu mai mult — spam risk)</t>
  </si>
  <si>
    <t xml:space="preserve">Alerte sezonale, oferte exclusive, invitații evenimente locale</t>
  </si>
  <si>
    <t xml:space="preserve">Opt-ins + reply rate</t>
  </si>
  <si>
    <t xml:space="preserve">Community playbook — reguli de joc în grupuri Facebook</t>
  </si>
  <si>
    <t xml:space="preserve">Regulă / principiu</t>
  </si>
  <si>
    <t xml:space="preserve">Cum aplici concret</t>
  </si>
  <si>
    <t xml:space="preserve">Risc dacă ignori</t>
  </si>
  <si>
    <t xml:space="preserve">Warm-up obligatoriu 7-14 zile</t>
  </si>
  <si>
    <t xml:space="preserve">Înainte să postezi CEVA în grup: 5-10 reacții + 2-3 comentarii valoroase la alții / săpt. Conturile noi sau inactive = suspectate de spam</t>
  </si>
  <si>
    <t xml:space="preserve">Ban sau șters post</t>
  </si>
  <si>
    <t xml:space="preserve">Admin în DM, NU în comentariu</t>
  </si>
  <si>
    <t xml:space="preserve">Contactează admin privat cu: prezentare scurtă (CSSI, 20 ani Brașov, 8.700 proiecte), întrebare clară („pot posta un studiu de caz / ghid?"). Fără „te rog aprobă-mă"</t>
  </si>
  <si>
    <t xml:space="preserve">Pierzi credibilitatea de la prima interacțiune</t>
  </si>
  <si>
    <t xml:space="preserve">80/20 content rule</t>
  </si>
  <si>
    <t xml:space="preserve">80% postări educaționale / utile (fără link direct la serviciu). 20% pot avea CTA. Exces comercial = ban</t>
  </si>
  <si>
    <t xml:space="preserve">Ștergere + reducere reach viitor</t>
  </si>
  <si>
    <t xml:space="preserve">Zero link direct în postare</t>
  </si>
  <si>
    <t xml:space="preserve">Linkul către blog/site merge ÎN COMENTARIU primul, nu în corpul postului. Algoritmul FB penalizează linkurile directe</t>
  </si>
  <si>
    <t xml:space="preserve">Reach distribuit redus cu 60%</t>
  </si>
  <si>
    <t xml:space="preserve">Fără repost în 5 grupuri same day</t>
  </si>
  <si>
    <t xml:space="preserve">Postul distribuit în multiple grupuri în aceeași zi = flagged „coordinated spam". Rulează 1 grup/zi, max 3 grupuri/săpt. pentru același mesaj</t>
  </si>
  <si>
    <t xml:space="preserve">Ban automat FB</t>
  </si>
  <si>
    <t xml:space="preserve">Răspund la fiecare comentariu în 2h</t>
  </si>
  <si>
    <t xml:space="preserve">Engagement grup = reach viitor. Notificări active, răspunzi rapid și personalizat. Nu copy-paste</t>
  </si>
  <si>
    <t xml:space="preserve">Post moare repede, pierzi efect</t>
  </si>
  <si>
    <t xml:space="preserve">Niciodată „răzbunare" pe concurență</t>
  </si>
  <si>
    <t xml:space="preserve">Chiar dacă cineva se laudă USE Systems / LINX într-un grup, NU comenta negativ. În schimb, dă răspuns mai bun la întrebare originală</t>
  </si>
  <si>
    <t xml:space="preserve">Distruge reputația pe tot grupul</t>
  </si>
  <si>
    <t xml:space="preserve">Fotografii autentice (nu stock)</t>
  </si>
  <si>
    <t xml:space="preserve">Fiecare post cu fotografie = proiect real, fotografie proprie. Stock-ul se vede și reduce credibilitate</t>
  </si>
  <si>
    <t xml:space="preserve">Mistrust; scade reach</t>
  </si>
  <si>
    <t xml:space="preserve">Semnătură clară fără spam</t>
  </si>
  <si>
    <t xml:space="preserve">Finalul postului: „— CSSI Brașov, 20 ani experiență, cssi.ro". Niciodată: „CLICK AICI" sau 5 hashtag-uri</t>
  </si>
  <si>
    <t xml:space="preserve">Ban pentru self-promo agresiv</t>
  </si>
  <si>
    <t xml:space="preserve">Evenimente locale — sponsorizează, nu vinde</t>
  </si>
  <si>
    <t xml:space="preserve">Sponsorizează Brașov Community Day, boutique fairs, școli etc. Stand cu „audit gratuit" — nu oferte. Conversia vine după</t>
  </si>
  <si>
    <t xml:space="preserve">Perceput ca „vânzători agresivi"</t>
  </si>
  <si>
    <t xml:space="preserve">Tratează moderatorii ca VIP</t>
  </si>
  <si>
    <t xml:space="preserve">Ofertă de 20-30% reducere la servicii CSSI pentru admin + familie. Cost mic, ei devin advocați organici</t>
  </si>
  <si>
    <t xml:space="preserve">Pierzi accesul când ai nevoie</t>
  </si>
  <si>
    <t xml:space="preserve">Măsoară în DM-uri nu în likes</t>
  </si>
  <si>
    <t xml:space="preserve">1 DM valid (întrebare despre ofertă) &gt; 500 likes. Track-uieză separat: mesaje, apeluri, formular contact</t>
  </si>
  <si>
    <t xml:space="preserve">Confuzie între vanity și business</t>
  </si>
  <si>
    <t xml:space="preserve">Raportul lunar e obligatoriu</t>
  </si>
  <si>
    <t xml:space="preserve">Dashboard lunar: postări live, acceptări admin, respingeri (+ motive), engagement per grup, DM-uri, lead-uri calificate. Itereaze pe baza datelor</t>
  </si>
  <si>
    <t xml:space="preserve">Nu înveți niciodată ce merge</t>
  </si>
  <si>
    <t xml:space="preserve">NUANȚE CULTURALE BRAȘOV (foarte importante)</t>
  </si>
  <si>
    <t xml:space="preserve">Observație</t>
  </si>
  <si>
    <t xml:space="preserve">Implicație concretă</t>
  </si>
  <si>
    <t xml:space="preserve">—</t>
  </si>
  <si>
    <t xml:space="preserve">Brașovenii sunt sceptici la branduri noi</t>
  </si>
  <si>
    <t xml:space="preserve">Folosește mereu „20 ani", „8.700 proiecte", „noi suntem aici de la..." — repetat. Testimonialele trebuie să fie de la persoane cunoscute local</t>
  </si>
  <si>
    <t xml:space="preserve">Conștiință locală puternică</t>
  </si>
  <si>
    <t xml:space="preserve">Folosește „Susținem Brașov", „producători locali", „sponsor [eveniment local]". Evită comparații cu București</t>
  </si>
  <si>
    <t xml:space="preserve">Seasonalitate turistică</t>
  </si>
  <si>
    <t xml:space="preserve">Iulie-august: focus case vacanță, pensiuni. Decembrie-ianuarie: ski Predeal. Adaptează conținutul sezonier</t>
  </si>
  <si>
    <t xml:space="preserve">Populație 45+ dominantă pe FB</t>
  </si>
  <si>
    <t xml:space="preserve">Limbaj clar, fără anglicisme inutile. „Cameră" nu „CCTV cam". „Alarmă antiefracție" nu „burglar alarm"</t>
  </si>
  <si>
    <t xml:space="preserve">Ochi pe preț (nu skimp, ci informat)</t>
  </si>
  <si>
    <t xml:space="preserve">Transparență prețuri, ROI clar, exemple concrete. Nu „cel mai bun de pe piață" — folosește „verificat de X clienți"</t>
  </si>
  <si>
    <t xml:space="preserve">Cluster industrial + suburbii</t>
  </si>
  <si>
    <t xml:space="preserve">Bosch, Schaeffler, Continental + Codlea/Prejmer — audiența B2B e acolo. Conținut vertical auto + industrial are tracțiune</t>
  </si>
  <si>
    <t xml:space="preserve">KPI, tracking și unelte pentru creștere organică</t>
  </si>
  <si>
    <t xml:space="preserve">Metric</t>
  </si>
  <si>
    <t xml:space="preserve">Ce măsoară</t>
  </si>
  <si>
    <t xml:space="preserve">Baseline (actual est.)</t>
  </si>
  <si>
    <t xml:space="preserve">Unealtă / cum</t>
  </si>
  <si>
    <t xml:space="preserve">Sesiuni organice blog/lună</t>
  </si>
  <si>
    <t xml:space="preserve">Trafic SEO total din Google</t>
  </si>
  <si>
    <t xml:space="preserve">~1.500</t>
  </si>
  <si>
    <t xml:space="preserve">GA4 → Acquisition → Organic Search</t>
  </si>
  <si>
    <t xml:space="preserve">Keywords top 10 Google</t>
  </si>
  <si>
    <t xml:space="preserve">Poziționare pe SERP pentru keywords target</t>
  </si>
  <si>
    <t xml:space="preserve">~15</t>
  </si>
  <si>
    <t xml:space="preserve">80+</t>
  </si>
  <si>
    <t xml:space="preserve">Google Search Console + Semrush / Ahrefs trial</t>
  </si>
  <si>
    <t xml:space="preserve">Apariții Local 3-pack</t>
  </si>
  <si>
    <t xml:space="preserve">Vizibilitate pe Google Maps pentru query-uri locale</t>
  </si>
  <si>
    <t xml:space="preserve">necunoscut</t>
  </si>
  <si>
    <t xml:space="preserve">top 3 pe 20 query-uri Brașov/zonă</t>
  </si>
  <si>
    <t xml:space="preserve">Local Falcon / BrightLocal / manual</t>
  </si>
  <si>
    <t xml:space="preserve">Review-uri Google (GBP CSSI)</t>
  </si>
  <si>
    <t xml:space="preserve">Număr total review-uri</t>
  </si>
  <si>
    <t xml:space="preserve">~[verifică]</t>
  </si>
  <si>
    <t xml:space="preserve">+80 noi (minim 50 organic)</t>
  </si>
  <si>
    <t xml:space="preserve">GBP dashboard + automation trimitere cerere</t>
  </si>
  <si>
    <t xml:space="preserve">Rating mediu GBP</t>
  </si>
  <si>
    <t xml:space="preserve">Reputație publică</t>
  </si>
  <si>
    <t xml:space="preserve">4.8+</t>
  </si>
  <si>
    <t xml:space="preserve">GBP dashboard</t>
  </si>
  <si>
    <t xml:space="preserve">Follower-i FB pagină</t>
  </si>
  <si>
    <t xml:space="preserve">+2.500</t>
  </si>
  <si>
    <t xml:space="preserve">Meta Business Suite</t>
  </si>
  <si>
    <t xml:space="preserve">Reach organic FB/lună</t>
  </si>
  <si>
    <t xml:space="preserve">40.000+</t>
  </si>
  <si>
    <t xml:space="preserve">Meta Insights</t>
  </si>
  <si>
    <t xml:space="preserve">Engagement rate FB (post pagină)</t>
  </si>
  <si>
    <t xml:space="preserve">&gt;5%</t>
  </si>
  <si>
    <t xml:space="preserve">Postări acceptate grupuri FB/lună</t>
  </si>
  <si>
    <t xml:space="preserve">0</t>
  </si>
  <si>
    <t xml:space="preserve">30+</t>
  </si>
  <si>
    <t xml:space="preserve">Manual — tracker Excel / Notion</t>
  </si>
  <si>
    <t xml:space="preserve">DM primite din grupuri FB/lună</t>
  </si>
  <si>
    <t xml:space="preserve">25+</t>
  </si>
  <si>
    <t xml:space="preserve">Inbox Meta</t>
  </si>
  <si>
    <t xml:space="preserve">Lead-uri calificate din social/lună</t>
  </si>
  <si>
    <t xml:space="preserve">Mesaje/apeluri cu intenție reală</t>
  </si>
  <si>
    <t xml:space="preserve">15-25</t>
  </si>
  <si>
    <t xml:space="preserve">CRM simplu (HubSpot Free / Pipedrive)</t>
  </si>
  <si>
    <t xml:space="preserve">Follower-i Instagram</t>
  </si>
  <si>
    <t xml:space="preserve">+1.500</t>
  </si>
  <si>
    <t xml:space="preserve">IG Insights</t>
  </si>
  <si>
    <t xml:space="preserve">Views Reels/lună cumulat</t>
  </si>
  <si>
    <t xml:space="preserve">100.000+</t>
  </si>
  <si>
    <t xml:space="preserve">Follower-i TikTok</t>
  </si>
  <si>
    <t xml:space="preserve">TikTok Analytics</t>
  </si>
  <si>
    <t xml:space="preserve">Abonați YouTube</t>
  </si>
  <si>
    <t xml:space="preserve">500</t>
  </si>
  <si>
    <t xml:space="preserve">YouTube Studio</t>
  </si>
  <si>
    <t xml:space="preserve">Watch time YouTube/lună</t>
  </si>
  <si>
    <t xml:space="preserve">500 ore</t>
  </si>
  <si>
    <t xml:space="preserve">Conexiuni LinkedIn (pagină)</t>
  </si>
  <si>
    <t xml:space="preserve">+500 connexiuni relevante</t>
  </si>
  <si>
    <t xml:space="preserve">LinkedIn Analytics</t>
  </si>
  <si>
    <t xml:space="preserve">Email subscribers</t>
  </si>
  <si>
    <t xml:space="preserve">Lead capture blog</t>
  </si>
  <si>
    <t xml:space="preserve">800+</t>
  </si>
  <si>
    <t xml:space="preserve">Mailchimp / Beehiiv / Brevo</t>
  </si>
  <si>
    <t xml:space="preserve">Open rate newsletter</t>
  </si>
  <si>
    <t xml:space="preserve">&gt;35%</t>
  </si>
  <si>
    <t xml:space="preserve">Email platform</t>
  </si>
  <si>
    <t xml:space="preserve">CTR blog → landing oferta</t>
  </si>
  <si>
    <t xml:space="preserve">Convertor blog → cerere ofertă</t>
  </si>
  <si>
    <t xml:space="preserve">&gt;3%</t>
  </si>
  <si>
    <t xml:space="preserve">GA4 evenimente + UTM</t>
  </si>
  <si>
    <t xml:space="preserve">Brand search volume</t>
  </si>
  <si>
    <t xml:space="preserve">„CSSI Brașov", „CSSI alarmă"</t>
  </si>
  <si>
    <t xml:space="preserve">+300% vs luna 1</t>
  </si>
  <si>
    <t xml:space="preserve">Google Search Console + Google Trends</t>
  </si>
  <si>
    <t xml:space="preserve">Mentions online (social + presa)</t>
  </si>
  <si>
    <t xml:space="preserve">~minim</t>
  </si>
  <si>
    <t xml:space="preserve">50+ mention/lună</t>
  </si>
  <si>
    <t xml:space="preserve">Brand24 / Mention.com / manual</t>
  </si>
  <si>
    <t xml:space="preserve">Lead cost organic</t>
  </si>
  <si>
    <t xml:space="preserve">Total cost timp/bani/lead</t>
  </si>
  <si>
    <t xml:space="preserve">sub 150 RON/lead calificat</t>
  </si>
  <si>
    <t xml:space="preserve">CRM + tracking ore</t>
  </si>
  <si>
    <t xml:space="preserve">STACK UNELTE RECOMANDAT (buget mic)</t>
  </si>
  <si>
    <t xml:space="preserve">Unealtă</t>
  </si>
  <si>
    <t xml:space="preserve">La ce</t>
  </si>
  <si>
    <t xml:space="preserve">Cost lunar</t>
  </si>
  <si>
    <t xml:space="preserve">Alternativă gratuită</t>
  </si>
  <si>
    <t xml:space="preserve">Google Search Console</t>
  </si>
  <si>
    <t xml:space="preserve">SEO tracking, keywords, impresions, CTR SERP</t>
  </si>
  <si>
    <t xml:space="preserve">gratuit</t>
  </si>
  <si>
    <t xml:space="preserve">OBLIGATORIU</t>
  </si>
  <si>
    <t xml:space="preserve">GA4</t>
  </si>
  <si>
    <t xml:space="preserve">Trafic site + evenimente + conversii</t>
  </si>
  <si>
    <t xml:space="preserve">Postare programată FB+IG, DM centralizate, Insights</t>
  </si>
  <si>
    <t xml:space="preserve">Local SEO + posts + reviews</t>
  </si>
  <si>
    <t xml:space="preserve">Canva Pro</t>
  </si>
  <si>
    <t xml:space="preserve">Creație vizuală rapidă (carousel, reels, storiesuri)</t>
  </si>
  <si>
    <t xml:space="preserve">~55 RON/lună</t>
  </si>
  <si>
    <t xml:space="preserve">Canva Free (cu limită)</t>
  </si>
  <si>
    <t xml:space="preserve">Metricool / Buffer</t>
  </si>
  <si>
    <t xml:space="preserve">Programare multi-platform (LinkedIn, TikTok, IG, FB)</t>
  </si>
  <si>
    <t xml:space="preserve">~80-150 RON/lună</t>
  </si>
  <si>
    <t xml:space="preserve">Meta Business Suite (doar FB+IG)</t>
  </si>
  <si>
    <t xml:space="preserve">Semrush / Ahrefs</t>
  </si>
  <si>
    <t xml:space="preserve">Keyword research, monitorizare competitori, backlinks</t>
  </si>
  <si>
    <t xml:space="preserve">~600-1500 RON/lună</t>
  </si>
  <si>
    <t xml:space="preserve">Ubersuggest / Google Keyword Planner</t>
  </si>
  <si>
    <t xml:space="preserve">BrightLocal / Local Falcon</t>
  </si>
  <si>
    <t xml:space="preserve">Monitorizare Local Pack + grid scan</t>
  </si>
  <si>
    <t xml:space="preserve">~150 RON/lună</t>
  </si>
  <si>
    <t xml:space="preserve">Manual Google Maps</t>
  </si>
  <si>
    <t xml:space="preserve">Brevo (fost Sendinblue)</t>
  </si>
  <si>
    <t xml:space="preserve">Email newsletter + automation</t>
  </si>
  <si>
    <t xml:space="preserve">gratuit până la 300 email/zi</t>
  </si>
  <si>
    <t xml:space="preserve">Mailchimp Free</t>
  </si>
  <si>
    <t xml:space="preserve">HubSpot Free CRM</t>
  </si>
  <si>
    <t xml:space="preserve">Lead tracking + form pe blog</t>
  </si>
  <si>
    <t xml:space="preserve">Pipedrive trial / Airtable</t>
  </si>
  <si>
    <t xml:space="preserve">CapCut</t>
  </si>
  <si>
    <t xml:space="preserve">Editare Reels/TikTok</t>
  </si>
  <si>
    <t xml:space="preserve">InShot</t>
  </si>
  <si>
    <t xml:space="preserve">Notion / Airtable</t>
  </si>
  <si>
    <t xml:space="preserve">Tracker postări grupuri, admin contacts</t>
  </si>
  <si>
    <t xml:space="preserve">Google Sheets</t>
  </si>
  <si>
    <t xml:space="preserve">ChatGPT / Claude</t>
  </si>
  <si>
    <t xml:space="preserve">Draft-uri postări, idei copy</t>
  </si>
  <si>
    <t xml:space="preserve">~100 RON/lună</t>
  </si>
  <si>
    <t xml:space="preserve">varianta free</t>
  </si>
  <si>
    <t xml:space="preserve">Brand24 / Mention</t>
  </si>
  <si>
    <t xml:space="preserve">Monitorizare mențiuni brand</t>
  </si>
  <si>
    <t xml:space="preserve">~300 RON/lună</t>
  </si>
  <si>
    <t xml:space="preserve">Google Alerts (gratuit)</t>
  </si>
  <si>
    <t xml:space="preserve">Plan execuție 90 zile — roadmap concret</t>
  </si>
  <si>
    <t xml:space="preserve">Obiectiv: de la 0 prezență organică structurată la +40.000 reach lunar + 15-25 lead-uri calificate/lună</t>
  </si>
  <si>
    <t xml:space="preserve">Focus</t>
  </si>
  <si>
    <t xml:space="preserve">Task-uri concrete</t>
  </si>
  <si>
    <t xml:space="preserve">Responsabil (rol)</t>
  </si>
  <si>
    <t xml:space="preserve">Livrabil / KPI săpt.</t>
  </si>
  <si>
    <t xml:space="preserve">S1-2</t>
  </si>
  <si>
    <t xml:space="preserve">Fundație tehnică + audit</t>
  </si>
  <si>
    <t xml:space="preserve">• Verifică GA4 + GSC + GBP setat corect
• Instalează Meta Business Suite + conectează FB pagină + IG
• Creează canal TikTok + YouTube + pagină LinkedIn branded
• Audit SEO on-page (Screaming Frog — trial free)
• Implementează LocalBusiness schema + FAQ schema + BreadcrumbList
• Creează 5 lead magnets PDF (checklist ISU, GDPR CCTV, calculator, quiz, evaluare risc)</t>
  </si>
  <si>
    <t xml:space="preserve">Marketing + dev</t>
  </si>
  <si>
    <t xml:space="preserve">Schema live • GA4 evenimente • 5 PDF-uri publicate</t>
  </si>
  <si>
    <t xml:space="preserve">S3-4</t>
  </si>
  <si>
    <t xml:space="preserve">Warm-up grupuri FB (P0)</t>
  </si>
  <si>
    <t xml:space="preserve">• Join 15 grupuri P0 (Brașov Romania, Mamici Brașov, Tractorul, Antreprenori, HoReCa, Apartamente, etc.)
• 10 interacțiuni/săpt. în fiecare (like + comment util)
• DM privat la 5 admin (prezentare + intenții)
• Identifică 3 influenceri locali pentru potențial partener
• Rulează primele 3 articole calendar pe blog (S1-S3)</t>
  </si>
  <si>
    <t xml:space="preserve">Community manager</t>
  </si>
  <si>
    <t xml:space="preserve">5 admin contactați • 3 articole publicate</t>
  </si>
  <si>
    <t xml:space="preserve">S5-6</t>
  </si>
  <si>
    <t xml:space="preserve">Prime postări în grupuri (educaționale)</t>
  </si>
  <si>
    <t xml:space="preserve">• Publică primele 6 postări grupuri FB (80% educațional, 0 link direct — link în comentariu)
• Lansează 2 Reels IG + 2 TikTok (before/after + mit)
• Primul live Q&amp;A Facebook pagină (20 min)
• Publică primele 4 articole locale (Codlea, Săcele)
• Optimizează GBP: adaugă 20 fotografii, 3 posturi/săpt., răspunde la toate review-urile</t>
  </si>
  <si>
    <t xml:space="preserve">Community + creator video</t>
  </si>
  <si>
    <t xml:space="preserve">6 postări acceptate • 1 live • GBP updated</t>
  </si>
  <si>
    <t xml:space="preserve">S7-8</t>
  </si>
  <si>
    <t xml:space="preserve">Cross-brand sinergie</t>
  </si>
  <si>
    <t xml:space="preserve">• Publică articolele hub grup (CSSI + Shop Security + Breaksystems)
• Rulează primele cross-link-uri între cele 3 domenii
• Post pe LinkedIn despre structura grupului
• Lansează newsletter (bi-lunar); primul 400 subscribers organic (baza clienți existenți)</t>
  </si>
  <si>
    <t xml:space="preserve">SEO + content</t>
  </si>
  <si>
    <t xml:space="preserve">3 articole hub publicate • Newsletter live</t>
  </si>
  <si>
    <t xml:space="preserve">S9-10</t>
  </si>
  <si>
    <t xml:space="preserve">Extindere grupuri + content vertical</t>
  </si>
  <si>
    <t xml:space="preserve">• Join încă 10 grupuri (Codlea, Săcele, Râșnov, Predeal comunitate, Imobiliare Brașov etc.)
• Publică primul studiu de caz vertical (auto cluster sau HoReCa)
• Lansează campanie review Google (cerere automată către clienți existenți din ultimele 12 luni — target 20 noi review în 2 săpt.)
• 2 colaborări cu meseriași Brașov pentru referral</t>
  </si>
  <si>
    <t xml:space="preserve">Community + sales</t>
  </si>
  <si>
    <t xml:space="preserve">10 review noi • 1 studiu caz</t>
  </si>
  <si>
    <t xml:space="preserve">S11-12</t>
  </si>
  <si>
    <t xml:space="preserve">Optimizare + rep. cartiere</t>
  </si>
  <si>
    <t xml:space="preserve">• Lansează pagini cartier (Tractorul, Răcădău, Bartolomeu) + micro-landing
• Primul colab cu un influencer local Brașov (Reels în parteneriat)
• Audit primul lună rezultate — ce funcționează / ce nu — iteraze
• Publică 4 articole noi (cartiere + vertical)</t>
  </si>
  <si>
    <t xml:space="preserve">Content + SEO</t>
  </si>
  <si>
    <t xml:space="preserve">3 pagini cartier live • 1 colab influencer</t>
  </si>
  <si>
    <t xml:space="preserve">S13-14</t>
  </si>
  <si>
    <t xml:space="preserve">Seasonal: vacanță vară</t>
  </si>
  <si>
    <t xml:space="preserve">• Campanie vacanță vară (articol + 10 postări programate + oferta lunii)
• Email newsletter cu checklist PDF
• 3 Reels vacanță (IG + TikTok)
• Postări dedicate în grupuri mamici + case vacanță</t>
  </si>
  <si>
    <t xml:space="preserve">Toate rolurile</t>
  </si>
  <si>
    <t xml:space="preserve">15 postări campanie • 50 lead-uri sezon</t>
  </si>
  <si>
    <t xml:space="preserve">S15-16</t>
  </si>
  <si>
    <t xml:space="preserve">Amplificare vertical B2B</t>
  </si>
  <si>
    <t xml:space="preserve">• Outreach direct 20 firme cluster auto Brașov (LinkedIn + email + telefon)
• Publică white paper industrial pe Breaksystems + landing CSSI auto
• Webinar gratuit „securitate IMM 2026" (ZOOM + FB live)
• 1 event local (booth Brașov Community Day / sponsor)</t>
  </si>
  <si>
    <t xml:space="preserve">Sales + marketing</t>
  </si>
  <si>
    <t xml:space="preserve">2 lead-uri B2B calificate • 1 eveniment</t>
  </si>
  <si>
    <t xml:space="preserve">S17-18</t>
  </si>
  <si>
    <t xml:space="preserve">Optimizare funnel conversie</t>
  </si>
  <si>
    <t xml:space="preserve">• A/B test CTAs blog (ofertă vs audit vs quiz)
• Adaugă exit-popup cu lead magnet
• Implementează WhatsApp Business (click-to-chat pe site)
• Refresh primele 17 articole (meta-description + FAQ schema + link-uri interne)</t>
  </si>
  <si>
    <t xml:space="preserve">CTR blog +30% • Popup CTR 3%+</t>
  </si>
  <si>
    <t xml:space="preserve">S19-20</t>
  </si>
  <si>
    <t xml:space="preserve">Lansare CSSI Care (abonament)</t>
  </si>
  <si>
    <t xml:space="preserve">• Landing page CSSI Care cu 3 tier-uri
• Migrare primii 20 clienți existenți
• Campanie dedicată pe toate canalele (postări + email + FB pagină + grupuri relevante)</t>
  </si>
  <si>
    <t xml:space="preserve">20 subscribe Care • MRR stabilit</t>
  </si>
  <si>
    <t xml:space="preserve">S21-22</t>
  </si>
  <si>
    <t xml:space="preserve">Audit și scalare</t>
  </si>
  <si>
    <t xml:space="preserve">• Dashboard complet Looker Studio (toate metricii)
• Decide care grupuri / canale să oprești (ROI slab) / scale
• Identifică top 5 articole care aduc cele mai multe lead-uri → investești mai mult în ele (updates, cross-links, distribuție)</t>
  </si>
  <si>
    <t xml:space="preserve">Toată echipa</t>
  </si>
  <si>
    <t xml:space="preserve">Dashboard live • Decizie scalare</t>
  </si>
  <si>
    <t xml:space="preserve">S23-24</t>
  </si>
  <si>
    <t xml:space="preserve">Extindere 50 km rămasă</t>
  </si>
  <si>
    <t xml:space="preserve">• Pagini Zărnești, Bran, Făgăraș, Prejmer, Hărman
• Join 5 grupuri suplimentare
• Campanie review-uri GBP (+20)</t>
  </si>
  <si>
    <t xml:space="preserve">SEO + community</t>
  </si>
  <si>
    <t xml:space="preserve">5 pagini locale • 20 review noi</t>
  </si>
  <si>
    <t xml:space="preserve">S25-26</t>
  </si>
  <si>
    <t xml:space="preserve">Bilanț + plan 2027</t>
  </si>
  <si>
    <t xml:space="preserve">• Raport complet luna 6: KPI vs țintă, ROI pe canal, lead cost per sursă
• Planning 2027 cu ajustări
• Videoclip „un an de CSSI în Brașov" — storytelling
• Bonus: community party / eveniment aniversare Brașov</t>
  </si>
  <si>
    <t xml:space="preserve">Management + toată echipa</t>
  </si>
  <si>
    <t xml:space="preserve">Raport final + plan 2027</t>
  </si>
</sst>
</file>

<file path=xl/styles.xml><?xml version="1.0" encoding="utf-8"?>
<styleSheet xmlns="http://schemas.openxmlformats.org/spreadsheetml/2006/main">
  <numFmts count="2">
    <numFmt numFmtId="164" formatCode="General"/>
    <numFmt numFmtId="165" formatCode="dd\ mmm\ yyyy"/>
  </numFmts>
  <fonts count="14">
    <font>
      <sz val="11"/>
      <color theme="1"/>
      <name val="Calibri"/>
      <family val="2"/>
      <charset val="1"/>
    </font>
    <font>
      <sz val="10"/>
      <name val="Arial"/>
      <family val="0"/>
    </font>
    <font>
      <sz val="10"/>
      <name val="Arial"/>
      <family val="0"/>
    </font>
    <font>
      <sz val="10"/>
      <name val="Arial"/>
      <family val="0"/>
    </font>
    <font>
      <b val="true"/>
      <sz val="16"/>
      <color rgb="FFDC2626"/>
      <name val="Arial"/>
      <family val="0"/>
      <charset val="1"/>
    </font>
    <font>
      <i val="true"/>
      <sz val="11"/>
      <color rgb="FF6B7280"/>
      <name val="Arial"/>
      <family val="0"/>
      <charset val="1"/>
    </font>
    <font>
      <sz val="10"/>
      <name val="Arial"/>
      <family val="0"/>
      <charset val="1"/>
    </font>
    <font>
      <b val="true"/>
      <sz val="10"/>
      <name val="Arial"/>
      <family val="0"/>
      <charset val="1"/>
    </font>
    <font>
      <b val="true"/>
      <sz val="12"/>
      <color rgb="FFDC2626"/>
      <name val="Arial"/>
      <family val="0"/>
      <charset val="1"/>
    </font>
    <font>
      <b val="true"/>
      <sz val="14"/>
      <color rgb="FFDC2626"/>
      <name val="Arial"/>
      <family val="0"/>
      <charset val="1"/>
    </font>
    <font>
      <i val="true"/>
      <sz val="10"/>
      <color rgb="FF6B7280"/>
      <name val="Arial"/>
      <family val="0"/>
      <charset val="1"/>
    </font>
    <font>
      <b val="true"/>
      <sz val="12"/>
      <color rgb="FF065F46"/>
      <name val="Arial"/>
      <family val="0"/>
      <charset val="1"/>
    </font>
    <font>
      <b val="true"/>
      <sz val="11"/>
      <color rgb="FFFFFFFF"/>
      <name val="Arial"/>
      <family val="0"/>
      <charset val="1"/>
    </font>
    <font>
      <b val="true"/>
      <sz val="11"/>
      <color rgb="FF065F46"/>
      <name val="Arial"/>
      <family val="0"/>
      <charset val="1"/>
    </font>
  </fonts>
  <fills count="20">
    <fill>
      <patternFill patternType="none"/>
    </fill>
    <fill>
      <patternFill patternType="gray125"/>
    </fill>
    <fill>
      <patternFill patternType="solid">
        <fgColor rgb="FFFEE2E2"/>
        <bgColor rgb="FFFCE7F3"/>
      </patternFill>
    </fill>
    <fill>
      <patternFill patternType="solid">
        <fgColor rgb="FFA7F3D0"/>
        <bgColor rgb="FFBBF7D0"/>
      </patternFill>
    </fill>
    <fill>
      <patternFill patternType="solid">
        <fgColor rgb="FF1F2937"/>
        <bgColor rgb="FF333300"/>
      </patternFill>
    </fill>
    <fill>
      <patternFill patternType="solid">
        <fgColor rgb="FFD1FAE5"/>
        <bgColor rgb="FFDCFCE7"/>
      </patternFill>
    </fill>
    <fill>
      <patternFill patternType="solid">
        <fgColor rgb="FFECFDF5"/>
        <bgColor rgb="FFDCFCE7"/>
      </patternFill>
    </fill>
    <fill>
      <patternFill patternType="solid">
        <fgColor rgb="FFFECACA"/>
        <bgColor rgb="FFFED7AA"/>
      </patternFill>
    </fill>
    <fill>
      <patternFill patternType="solid">
        <fgColor rgb="FFDBEAFE"/>
        <bgColor rgb="FFE0E7FF"/>
      </patternFill>
    </fill>
    <fill>
      <patternFill patternType="solid">
        <fgColor rgb="FFFEF3C7"/>
        <bgColor rgb="FFFEE2E2"/>
      </patternFill>
    </fill>
    <fill>
      <patternFill patternType="solid">
        <fgColor rgb="FFE9D5FF"/>
        <bgColor rgb="FFE0E7FF"/>
      </patternFill>
    </fill>
    <fill>
      <patternFill patternType="solid">
        <fgColor rgb="FFFED7AA"/>
        <bgColor rgb="FFFECACA"/>
      </patternFill>
    </fill>
    <fill>
      <patternFill patternType="solid">
        <fgColor rgb="FFDCFCE7"/>
        <bgColor rgb="FFD1FAE5"/>
      </patternFill>
    </fill>
    <fill>
      <patternFill patternType="solid">
        <fgColor rgb="FFFCA5A5"/>
        <bgColor rgb="FFFECACA"/>
      </patternFill>
    </fill>
    <fill>
      <patternFill patternType="solid">
        <fgColor rgb="FFFDE68A"/>
        <bgColor rgb="FFFED7AA"/>
      </patternFill>
    </fill>
    <fill>
      <patternFill patternType="solid">
        <fgColor rgb="FFBBF7D0"/>
        <bgColor rgb="FFA7F3D0"/>
      </patternFill>
    </fill>
    <fill>
      <patternFill patternType="solid">
        <fgColor rgb="FFCFFAFE"/>
        <bgColor rgb="FFD1FAE5"/>
      </patternFill>
    </fill>
    <fill>
      <patternFill patternType="solid">
        <fgColor rgb="FFE0E7FF"/>
        <bgColor rgb="FFDBEAFE"/>
      </patternFill>
    </fill>
    <fill>
      <patternFill patternType="solid">
        <fgColor rgb="FFFCE7F3"/>
        <bgColor rgb="FFF3E8FF"/>
      </patternFill>
    </fill>
    <fill>
      <patternFill patternType="solid">
        <fgColor rgb="FFF3E8FF"/>
        <bgColor rgb="FFFCE7F3"/>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6" borderId="1" xfId="0" applyFont="true" applyBorder="true" applyAlignment="true" applyProtection="false">
      <alignment horizontal="general" vertical="top" textRotation="0" wrapText="true" indent="0" shrinkToFit="false"/>
      <protection locked="true" hidden="false"/>
    </xf>
    <xf numFmtId="164" fontId="6" fillId="17" borderId="1" xfId="0" applyFont="true" applyBorder="true" applyAlignment="true" applyProtection="false">
      <alignment horizontal="general" vertical="top" textRotation="0" wrapText="true" indent="0" shrinkToFit="false"/>
      <protection locked="true" hidden="false"/>
    </xf>
    <xf numFmtId="164" fontId="6" fillId="18" borderId="1" xfId="0" applyFont="true" applyBorder="true" applyAlignment="true" applyProtection="false">
      <alignment horizontal="general" vertical="top" textRotation="0" wrapText="true" indent="0" shrinkToFit="false"/>
      <protection locked="true" hidden="false"/>
    </xf>
    <xf numFmtId="164" fontId="6" fillId="19"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BBF7D0"/>
      <rgbColor rgb="FFFF00FF"/>
      <rgbColor rgb="FF00FFFF"/>
      <rgbColor rgb="FF800000"/>
      <rgbColor rgb="FF008000"/>
      <rgbColor rgb="FF000080"/>
      <rgbColor rgb="FF808000"/>
      <rgbColor rgb="FF800080"/>
      <rgbColor rgb="FF065F46"/>
      <rgbColor rgb="FFE9D5FF"/>
      <rgbColor rgb="FF808080"/>
      <rgbColor rgb="FFE0E7FF"/>
      <rgbColor rgb="FF993366"/>
      <rgbColor rgb="FFFEF3C7"/>
      <rgbColor rgb="FFCFFAFE"/>
      <rgbColor rgb="FF660066"/>
      <rgbColor rgb="FFFCE7F3"/>
      <rgbColor rgb="FF0066CC"/>
      <rgbColor rgb="FFD1D5DB"/>
      <rgbColor rgb="FF000080"/>
      <rgbColor rgb="FFFF00FF"/>
      <rgbColor rgb="FFECFDF5"/>
      <rgbColor rgb="FF00FFFF"/>
      <rgbColor rgb="FF800080"/>
      <rgbColor rgb="FF800000"/>
      <rgbColor rgb="FF008080"/>
      <rgbColor rgb="FF0000FF"/>
      <rgbColor rgb="FF00CCFF"/>
      <rgbColor rgb="FFDCFCE7"/>
      <rgbColor rgb="FFD1FAE5"/>
      <rgbColor rgb="FFFDE68A"/>
      <rgbColor rgb="FFA7F3D0"/>
      <rgbColor rgb="FFFCA5A5"/>
      <rgbColor rgb="FFFECACA"/>
      <rgbColor rgb="FFFED7AA"/>
      <rgbColor rgb="FF3366FF"/>
      <rgbColor rgb="FF33CCCC"/>
      <rgbColor rgb="FFF3E8FF"/>
      <rgbColor rgb="FFFEE2E2"/>
      <rgbColor rgb="FFFF9900"/>
      <rgbColor rgb="FFFF6600"/>
      <rgbColor rgb="FF6B7280"/>
      <rgbColor rgb="FFDBEAFE"/>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90"/>
  </cols>
  <sheetData>
    <row r="1" customFormat="false" ht="19.5" hidden="false" customHeight="true" outlineLevel="0" collapsed="false">
      <c r="A1" s="2" t="s">
        <v>0</v>
      </c>
      <c r="B1" s="2"/>
    </row>
    <row r="2" customFormat="false" ht="15" hidden="false" customHeight="true" outlineLevel="0" collapsed="false">
      <c r="A2" s="3" t="s">
        <v>1</v>
      </c>
      <c r="B2" s="3"/>
    </row>
    <row r="3" customFormat="false" ht="15" hidden="false" customHeight="true" outlineLevel="0" collapsed="false">
      <c r="A3" s="4"/>
      <c r="B3" s="4"/>
    </row>
    <row r="4" customFormat="false" ht="15" hidden="false" customHeight="true" outlineLevel="0" collapsed="false">
      <c r="A4" s="5" t="s">
        <v>2</v>
      </c>
      <c r="B4" s="6"/>
    </row>
    <row r="5" customFormat="false" ht="15" hidden="false" customHeight="true" outlineLevel="0" collapsed="false">
      <c r="A5" s="4" t="s">
        <v>3</v>
      </c>
      <c r="B5" s="4" t="s">
        <v>4</v>
      </c>
    </row>
    <row r="6" customFormat="false" ht="15" hidden="false" customHeight="true" outlineLevel="0" collapsed="false">
      <c r="A6" s="4" t="s">
        <v>5</v>
      </c>
      <c r="B6" s="4" t="s">
        <v>6</v>
      </c>
    </row>
    <row r="7" customFormat="false" ht="15" hidden="false" customHeight="true" outlineLevel="0" collapsed="false">
      <c r="A7" s="4" t="s">
        <v>7</v>
      </c>
      <c r="B7" s="4" t="s">
        <v>8</v>
      </c>
    </row>
    <row r="8" customFormat="false" ht="15" hidden="false" customHeight="true" outlineLevel="0" collapsed="false">
      <c r="A8" s="4" t="s">
        <v>9</v>
      </c>
      <c r="B8" s="4" t="s">
        <v>10</v>
      </c>
    </row>
    <row r="9" customFormat="false" ht="15" hidden="false" customHeight="true" outlineLevel="0" collapsed="false">
      <c r="A9" s="4" t="s">
        <v>11</v>
      </c>
      <c r="B9" s="4" t="s">
        <v>12</v>
      </c>
    </row>
    <row r="10" customFormat="false" ht="15" hidden="false" customHeight="true" outlineLevel="0" collapsed="false">
      <c r="A10" s="4"/>
      <c r="B10" s="4"/>
    </row>
    <row r="11" customFormat="false" ht="15" hidden="false" customHeight="true" outlineLevel="0" collapsed="false">
      <c r="A11" s="5" t="s">
        <v>13</v>
      </c>
      <c r="B11" s="6"/>
    </row>
    <row r="12" customFormat="false" ht="15" hidden="false" customHeight="true" outlineLevel="0" collapsed="false">
      <c r="A12" s="4" t="s">
        <v>14</v>
      </c>
      <c r="B12" s="4" t="s">
        <v>15</v>
      </c>
    </row>
    <row r="13" customFormat="false" ht="15" hidden="false" customHeight="true" outlineLevel="0" collapsed="false">
      <c r="A13" s="4" t="s">
        <v>16</v>
      </c>
      <c r="B13" s="4" t="s">
        <v>17</v>
      </c>
    </row>
    <row r="14" customFormat="false" ht="15" hidden="false" customHeight="true" outlineLevel="0" collapsed="false">
      <c r="A14" s="4" t="s">
        <v>18</v>
      </c>
      <c r="B14" s="4" t="s">
        <v>19</v>
      </c>
    </row>
    <row r="15" customFormat="false" ht="15" hidden="false" customHeight="true" outlineLevel="0" collapsed="false">
      <c r="A15" s="4" t="s">
        <v>20</v>
      </c>
      <c r="B15" s="4" t="s">
        <v>21</v>
      </c>
    </row>
    <row r="16" customFormat="false" ht="15" hidden="false" customHeight="true" outlineLevel="0" collapsed="false">
      <c r="A16" s="4"/>
      <c r="B16" s="4"/>
    </row>
    <row r="17" customFormat="false" ht="15" hidden="false" customHeight="true" outlineLevel="0" collapsed="false">
      <c r="A17" s="5" t="s">
        <v>22</v>
      </c>
      <c r="B17" s="6"/>
    </row>
    <row r="18" customFormat="false" ht="15" hidden="false" customHeight="true" outlineLevel="0" collapsed="false">
      <c r="A18" s="4" t="s">
        <v>23</v>
      </c>
      <c r="B18" s="4" t="s">
        <v>24</v>
      </c>
    </row>
    <row r="19" customFormat="false" ht="15" hidden="false" customHeight="true" outlineLevel="0" collapsed="false">
      <c r="A19" s="4" t="s">
        <v>25</v>
      </c>
      <c r="B19" s="4" t="s">
        <v>26</v>
      </c>
    </row>
    <row r="20" customFormat="false" ht="15" hidden="false" customHeight="true" outlineLevel="0" collapsed="false">
      <c r="A20" s="4" t="s">
        <v>27</v>
      </c>
      <c r="B20" s="4" t="s">
        <v>28</v>
      </c>
    </row>
    <row r="21" customFormat="false" ht="23.25" hidden="false" customHeight="true" outlineLevel="0" collapsed="false">
      <c r="A21" s="4" t="s">
        <v>29</v>
      </c>
      <c r="B21" s="4" t="s">
        <v>30</v>
      </c>
    </row>
    <row r="22" customFormat="false" ht="23.25" hidden="false" customHeight="true" outlineLevel="0" collapsed="false">
      <c r="A22" s="4" t="s">
        <v>31</v>
      </c>
      <c r="B22" s="4" t="s">
        <v>32</v>
      </c>
    </row>
    <row r="23" customFormat="false" ht="15" hidden="false" customHeight="true" outlineLevel="0" collapsed="false">
      <c r="A23" s="4"/>
      <c r="B23" s="4"/>
    </row>
    <row r="24" customFormat="false" ht="23.25" hidden="false" customHeight="true" outlineLevel="0" collapsed="false">
      <c r="A24" s="4" t="s">
        <v>33</v>
      </c>
      <c r="B24" s="4"/>
    </row>
    <row r="25" customFormat="false" ht="15" hidden="false" customHeight="true" outlineLevel="0" collapsed="false">
      <c r="A25" s="4" t="s">
        <v>34</v>
      </c>
      <c r="B25" s="4" t="s">
        <v>35</v>
      </c>
    </row>
    <row r="26" customFormat="false" ht="15" hidden="false" customHeight="true" outlineLevel="0" collapsed="false">
      <c r="A26" s="4" t="s">
        <v>36</v>
      </c>
      <c r="B26" s="4" t="s">
        <v>37</v>
      </c>
    </row>
    <row r="27" customFormat="false" ht="15" hidden="false" customHeight="true" outlineLevel="0" collapsed="false">
      <c r="A27" s="4" t="s">
        <v>38</v>
      </c>
      <c r="B27" s="4" t="s">
        <v>39</v>
      </c>
    </row>
    <row r="28" customFormat="false" ht="15" hidden="false" customHeight="true" outlineLevel="0" collapsed="false">
      <c r="A28" s="4" t="s">
        <v>40</v>
      </c>
      <c r="B28" s="4" t="s">
        <v>41</v>
      </c>
    </row>
    <row r="29" customFormat="false" ht="15" hidden="false" customHeight="true" outlineLevel="0" collapsed="false">
      <c r="A29" s="4" t="s">
        <v>42</v>
      </c>
      <c r="B29" s="4" t="s">
        <v>43</v>
      </c>
    </row>
    <row r="30" customFormat="false" ht="15" hidden="false" customHeight="true" outlineLevel="0" collapsed="false">
      <c r="A30" s="4"/>
      <c r="B30" s="4"/>
    </row>
    <row r="31" customFormat="false" ht="15" hidden="false" customHeight="true" outlineLevel="0" collapsed="false">
      <c r="A31" s="5" t="s">
        <v>44</v>
      </c>
      <c r="B31" s="6"/>
    </row>
    <row r="32" customFormat="false" ht="15" hidden="false" customHeight="true" outlineLevel="0" collapsed="false">
      <c r="A32" s="4" t="s">
        <v>45</v>
      </c>
      <c r="B32" s="4" t="s">
        <v>46</v>
      </c>
    </row>
    <row r="33" customFormat="false" ht="15" hidden="false" customHeight="true" outlineLevel="0" collapsed="false">
      <c r="A33" s="4" t="s">
        <v>47</v>
      </c>
      <c r="B33" s="4" t="s">
        <v>48</v>
      </c>
    </row>
    <row r="34" customFormat="false" ht="15" hidden="false" customHeight="true" outlineLevel="0" collapsed="false">
      <c r="A34" s="4" t="s">
        <v>49</v>
      </c>
      <c r="B34" s="4" t="s">
        <v>50</v>
      </c>
    </row>
    <row r="35" customFormat="false" ht="15" hidden="false" customHeight="true" outlineLevel="0" collapsed="false">
      <c r="A35" s="4" t="s">
        <v>51</v>
      </c>
      <c r="B35" s="4" t="s">
        <v>52</v>
      </c>
    </row>
    <row r="36" customFormat="false" ht="15" hidden="false" customHeight="true" outlineLevel="0" collapsed="false">
      <c r="A36" s="4" t="s">
        <v>53</v>
      </c>
      <c r="B36" s="4" t="s">
        <v>54</v>
      </c>
    </row>
    <row r="37" customFormat="false" ht="15" hidden="false" customHeight="true" outlineLevel="0" collapsed="false">
      <c r="A37" s="4" t="s">
        <v>55</v>
      </c>
      <c r="B37" s="4" t="s">
        <v>56</v>
      </c>
    </row>
    <row r="40" customFormat="false" ht="15" hidden="false" customHeight="false" outlineLevel="0" collapsed="false">
      <c r="A40" s="7" t="s">
        <v>57</v>
      </c>
      <c r="B40" s="7"/>
    </row>
    <row r="41" customFormat="false" ht="23.85" hidden="false" customHeight="false" outlineLevel="0" collapsed="false">
      <c r="A41" s="8" t="s">
        <v>58</v>
      </c>
      <c r="B41" s="4" t="s">
        <v>59</v>
      </c>
    </row>
    <row r="42" customFormat="false" ht="15" hidden="false" customHeight="false" outlineLevel="0" collapsed="false">
      <c r="A42" s="8" t="s">
        <v>60</v>
      </c>
      <c r="B42" s="4" t="s">
        <v>61</v>
      </c>
    </row>
    <row r="43" customFormat="false" ht="15" hidden="false" customHeight="false" outlineLevel="0" collapsed="false">
      <c r="A43" s="8" t="s">
        <v>62</v>
      </c>
      <c r="B43" s="4" t="s">
        <v>63</v>
      </c>
    </row>
    <row r="44" customFormat="false" ht="23.85" hidden="false" customHeight="false" outlineLevel="0" collapsed="false">
      <c r="A44" s="8" t="s">
        <v>64</v>
      </c>
      <c r="B44" s="4" t="s">
        <v>65</v>
      </c>
    </row>
    <row r="45" customFormat="false" ht="15" hidden="false" customHeight="false" outlineLevel="0" collapsed="false">
      <c r="A45" s="8" t="s">
        <v>66</v>
      </c>
      <c r="B45" s="4" t="s">
        <v>67</v>
      </c>
    </row>
    <row r="46" customFormat="false" ht="15" hidden="false" customHeight="false" outlineLevel="0" collapsed="false">
      <c r="A46" s="8" t="s">
        <v>68</v>
      </c>
      <c r="B46" s="4" t="s">
        <v>69</v>
      </c>
    </row>
    <row r="47" customFormat="false" ht="23.85" hidden="false" customHeight="false" outlineLevel="0" collapsed="false">
      <c r="A47" s="8" t="s">
        <v>70</v>
      </c>
      <c r="B47" s="4" t="s">
        <v>71</v>
      </c>
    </row>
    <row r="48" customFormat="false" ht="15" hidden="false" customHeight="false" outlineLevel="0" collapsed="false">
      <c r="A48" s="8" t="s">
        <v>72</v>
      </c>
      <c r="B48" s="4" t="s">
        <v>73</v>
      </c>
    </row>
    <row r="49" customFormat="false" ht="15" hidden="false" customHeight="false" outlineLevel="0" collapsed="false">
      <c r="A49" s="8" t="s">
        <v>74</v>
      </c>
      <c r="B49" s="4" t="s">
        <v>75</v>
      </c>
    </row>
    <row r="50" customFormat="false" ht="23.85" hidden="false" customHeight="false" outlineLevel="0" collapsed="false">
      <c r="A50" s="8" t="s">
        <v>76</v>
      </c>
      <c r="B50" s="4" t="s">
        <v>77</v>
      </c>
    </row>
  </sheetData>
  <mergeCells count="3">
    <mergeCell ref="A1:B1"/>
    <mergeCell ref="A2:B2"/>
    <mergeCell ref="A40:B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18"/>
    <col collapsed="false" customWidth="true" hidden="false" outlineLevel="0" max="4" min="4" style="1" width="35"/>
    <col collapsed="false" customWidth="true" hidden="false" outlineLevel="0" max="5" min="5" style="1" width="14"/>
    <col collapsed="false" customWidth="true" hidden="false" outlineLevel="0" max="6" min="6" style="1" width="10"/>
    <col collapsed="false" customWidth="true" hidden="false" outlineLevel="0" max="8" min="7" style="1" width="32"/>
  </cols>
  <sheetData>
    <row r="1" customFormat="false" ht="17.25" hidden="false" customHeight="true" outlineLevel="0" collapsed="false">
      <c r="A1" s="9" t="s">
        <v>78</v>
      </c>
      <c r="B1" s="9"/>
      <c r="C1" s="9"/>
      <c r="D1" s="9"/>
      <c r="E1" s="9"/>
      <c r="F1" s="9"/>
      <c r="G1" s="9"/>
      <c r="H1" s="9"/>
    </row>
    <row r="2" customFormat="false" ht="15" hidden="false" customHeight="true" outlineLevel="0" collapsed="false">
      <c r="A2" s="10" t="s">
        <v>79</v>
      </c>
      <c r="B2" s="10"/>
      <c r="C2" s="10"/>
      <c r="D2" s="10"/>
      <c r="E2" s="10"/>
      <c r="F2" s="10"/>
      <c r="G2" s="10"/>
      <c r="H2" s="10"/>
    </row>
    <row r="4" customFormat="false" ht="15" hidden="false" customHeight="true" outlineLevel="0" collapsed="false">
      <c r="A4" s="11" t="s">
        <v>80</v>
      </c>
      <c r="B4" s="11"/>
      <c r="C4" s="11"/>
      <c r="D4" s="11"/>
      <c r="E4" s="11"/>
      <c r="F4" s="11"/>
      <c r="G4" s="11"/>
      <c r="H4" s="11"/>
    </row>
    <row r="5" customFormat="false" ht="15" hidden="false" customHeight="true" outlineLevel="0" collapsed="false">
      <c r="A5" s="12" t="s">
        <v>81</v>
      </c>
      <c r="B5" s="12" t="s">
        <v>82</v>
      </c>
      <c r="C5" s="12" t="s">
        <v>83</v>
      </c>
      <c r="D5" s="12" t="s">
        <v>84</v>
      </c>
      <c r="E5" s="12" t="s">
        <v>85</v>
      </c>
      <c r="F5" s="12"/>
      <c r="G5" s="12" t="s">
        <v>86</v>
      </c>
      <c r="H5" s="12" t="s">
        <v>87</v>
      </c>
    </row>
    <row r="6" customFormat="false" ht="57" hidden="false" customHeight="true" outlineLevel="0" collapsed="false">
      <c r="A6" s="13" t="s">
        <v>88</v>
      </c>
      <c r="B6" s="13" t="s">
        <v>89</v>
      </c>
      <c r="C6" s="13" t="s">
        <v>90</v>
      </c>
      <c r="D6" s="13" t="s">
        <v>91</v>
      </c>
      <c r="E6" s="13" t="s">
        <v>92</v>
      </c>
      <c r="F6" s="13"/>
      <c r="G6" s="13" t="s">
        <v>93</v>
      </c>
      <c r="H6" s="13" t="s">
        <v>94</v>
      </c>
    </row>
    <row r="7" customFormat="false" ht="57" hidden="false" customHeight="true" outlineLevel="0" collapsed="false">
      <c r="A7" s="13" t="s">
        <v>95</v>
      </c>
      <c r="B7" s="13" t="s">
        <v>96</v>
      </c>
      <c r="C7" s="13" t="s">
        <v>97</v>
      </c>
      <c r="D7" s="13" t="s">
        <v>98</v>
      </c>
      <c r="E7" s="13" t="s">
        <v>99</v>
      </c>
      <c r="F7" s="13"/>
      <c r="G7" s="13" t="s">
        <v>100</v>
      </c>
      <c r="H7" s="13" t="s">
        <v>101</v>
      </c>
    </row>
    <row r="8" customFormat="false" ht="45.75" hidden="false" customHeight="true" outlineLevel="0" collapsed="false">
      <c r="A8" s="13" t="s">
        <v>102</v>
      </c>
      <c r="B8" s="13" t="s">
        <v>103</v>
      </c>
      <c r="C8" s="13" t="s">
        <v>104</v>
      </c>
      <c r="D8" s="13" t="s">
        <v>105</v>
      </c>
      <c r="E8" s="13" t="s">
        <v>106</v>
      </c>
      <c r="F8" s="13"/>
      <c r="G8" s="13" t="s">
        <v>107</v>
      </c>
      <c r="H8" s="13" t="s">
        <v>108</v>
      </c>
    </row>
    <row r="10" customFormat="false" ht="15" hidden="false" customHeight="true" outlineLevel="0" collapsed="false">
      <c r="A10" s="14" t="s">
        <v>109</v>
      </c>
      <c r="B10" s="14"/>
      <c r="C10" s="14"/>
      <c r="D10" s="14"/>
      <c r="E10" s="14"/>
      <c r="F10" s="14"/>
      <c r="G10" s="14"/>
      <c r="H10" s="14"/>
    </row>
    <row r="11" customFormat="false" ht="23.25" hidden="false" customHeight="true" outlineLevel="0" collapsed="false">
      <c r="A11" s="15" t="s">
        <v>110</v>
      </c>
      <c r="B11" s="16" t="s">
        <v>111</v>
      </c>
      <c r="C11" s="16"/>
      <c r="D11" s="16"/>
      <c r="E11" s="16"/>
      <c r="F11" s="16"/>
      <c r="G11" s="16"/>
      <c r="H11" s="16"/>
    </row>
    <row r="12" customFormat="false" ht="23.25" hidden="false" customHeight="true" outlineLevel="0" collapsed="false">
      <c r="A12" s="15" t="s">
        <v>112</v>
      </c>
      <c r="B12" s="16" t="s">
        <v>113</v>
      </c>
      <c r="C12" s="16"/>
      <c r="D12" s="16"/>
      <c r="E12" s="16"/>
      <c r="F12" s="16"/>
      <c r="G12" s="16"/>
      <c r="H12" s="16"/>
    </row>
    <row r="13" customFormat="false" ht="23.25" hidden="false" customHeight="true" outlineLevel="0" collapsed="false">
      <c r="A13" s="15" t="s">
        <v>114</v>
      </c>
      <c r="B13" s="16" t="s">
        <v>115</v>
      </c>
      <c r="C13" s="16"/>
      <c r="D13" s="16"/>
      <c r="E13" s="16"/>
      <c r="F13" s="16"/>
      <c r="G13" s="16"/>
      <c r="H13" s="16"/>
    </row>
    <row r="14" customFormat="false" ht="23.25" hidden="false" customHeight="true" outlineLevel="0" collapsed="false">
      <c r="A14" s="15" t="s">
        <v>116</v>
      </c>
      <c r="B14" s="16" t="s">
        <v>117</v>
      </c>
      <c r="C14" s="16"/>
      <c r="D14" s="16"/>
      <c r="E14" s="16"/>
      <c r="F14" s="16"/>
      <c r="G14" s="16"/>
      <c r="H14" s="16"/>
    </row>
    <row r="15" customFormat="false" ht="23.25" hidden="false" customHeight="true" outlineLevel="0" collapsed="false">
      <c r="A15" s="15" t="s">
        <v>118</v>
      </c>
      <c r="B15" s="16" t="s">
        <v>119</v>
      </c>
      <c r="C15" s="16"/>
      <c r="D15" s="16"/>
      <c r="E15" s="16"/>
      <c r="F15" s="16"/>
      <c r="G15" s="16"/>
      <c r="H15" s="16"/>
    </row>
    <row r="16" customFormat="false" ht="23.25" hidden="false" customHeight="true" outlineLevel="0" collapsed="false">
      <c r="A16" s="15" t="s">
        <v>120</v>
      </c>
      <c r="B16" s="16" t="s">
        <v>121</v>
      </c>
      <c r="C16" s="16"/>
      <c r="D16" s="16"/>
      <c r="E16" s="16"/>
      <c r="F16" s="16"/>
      <c r="G16" s="16"/>
      <c r="H16" s="16"/>
    </row>
    <row r="19" customFormat="false" ht="15" hidden="false" customHeight="true" outlineLevel="0" collapsed="false">
      <c r="A19" s="17" t="s">
        <v>122</v>
      </c>
      <c r="B19" s="17"/>
      <c r="C19" s="17"/>
      <c r="D19" s="17"/>
      <c r="E19" s="17"/>
      <c r="F19" s="17"/>
      <c r="G19" s="17"/>
      <c r="H19" s="17"/>
    </row>
    <row r="20" customFormat="false" ht="15" hidden="false" customHeight="true" outlineLevel="0" collapsed="false">
      <c r="A20" s="12" t="s">
        <v>123</v>
      </c>
      <c r="B20" s="12" t="s">
        <v>82</v>
      </c>
      <c r="C20" s="12" t="s">
        <v>124</v>
      </c>
      <c r="D20" s="12" t="s">
        <v>125</v>
      </c>
      <c r="E20" s="12" t="s">
        <v>126</v>
      </c>
      <c r="F20" s="12" t="s">
        <v>127</v>
      </c>
      <c r="G20" s="12" t="s">
        <v>128</v>
      </c>
      <c r="H20" s="12" t="s">
        <v>129</v>
      </c>
    </row>
    <row r="21" customFormat="false" ht="45.75" hidden="false" customHeight="true" outlineLevel="0" collapsed="false">
      <c r="A21" s="16" t="s">
        <v>130</v>
      </c>
      <c r="B21" s="16" t="s">
        <v>131</v>
      </c>
      <c r="C21" s="16" t="s">
        <v>132</v>
      </c>
      <c r="D21" s="16" t="s">
        <v>133</v>
      </c>
      <c r="E21" s="18" t="s">
        <v>134</v>
      </c>
      <c r="F21" s="19" t="s">
        <v>135</v>
      </c>
      <c r="G21" s="16" t="s">
        <v>136</v>
      </c>
      <c r="H21" s="16" t="s">
        <v>137</v>
      </c>
    </row>
    <row r="22" customFormat="false" ht="34.5" hidden="false" customHeight="true" outlineLevel="0" collapsed="false">
      <c r="A22" s="16" t="s">
        <v>138</v>
      </c>
      <c r="B22" s="16" t="s">
        <v>139</v>
      </c>
      <c r="C22" s="16" t="s">
        <v>140</v>
      </c>
      <c r="D22" s="16" t="s">
        <v>141</v>
      </c>
      <c r="E22" s="19" t="s">
        <v>142</v>
      </c>
      <c r="F22" s="19" t="s">
        <v>135</v>
      </c>
      <c r="G22" s="16" t="s">
        <v>143</v>
      </c>
      <c r="H22" s="16" t="s">
        <v>144</v>
      </c>
    </row>
    <row r="23" customFormat="false" ht="34.5" hidden="false" customHeight="true" outlineLevel="0" collapsed="false">
      <c r="A23" s="16" t="s">
        <v>145</v>
      </c>
      <c r="B23" s="16" t="s">
        <v>146</v>
      </c>
      <c r="C23" s="16" t="s">
        <v>147</v>
      </c>
      <c r="D23" s="16" t="s">
        <v>148</v>
      </c>
      <c r="E23" s="19" t="s">
        <v>142</v>
      </c>
      <c r="F23" s="20" t="s">
        <v>149</v>
      </c>
      <c r="G23" s="16" t="s">
        <v>150</v>
      </c>
      <c r="H23" s="16" t="s">
        <v>151</v>
      </c>
    </row>
    <row r="24" customFormat="false" ht="34.5" hidden="false" customHeight="true" outlineLevel="0" collapsed="false">
      <c r="A24" s="16" t="s">
        <v>152</v>
      </c>
      <c r="B24" s="16" t="s">
        <v>153</v>
      </c>
      <c r="C24" s="16" t="s">
        <v>154</v>
      </c>
      <c r="D24" s="16" t="s">
        <v>155</v>
      </c>
      <c r="E24" s="19" t="s">
        <v>142</v>
      </c>
      <c r="F24" s="21" t="s">
        <v>156</v>
      </c>
      <c r="G24" s="16" t="s">
        <v>157</v>
      </c>
      <c r="H24" s="16" t="s">
        <v>158</v>
      </c>
    </row>
    <row r="25" customFormat="false" ht="34.5" hidden="false" customHeight="true" outlineLevel="0" collapsed="false">
      <c r="A25" s="16" t="s">
        <v>159</v>
      </c>
      <c r="B25" s="16" t="s">
        <v>160</v>
      </c>
      <c r="C25" s="16" t="s">
        <v>161</v>
      </c>
      <c r="D25" s="16" t="s">
        <v>162</v>
      </c>
      <c r="E25" s="19" t="s">
        <v>142</v>
      </c>
      <c r="F25" s="21" t="s">
        <v>156</v>
      </c>
      <c r="G25" s="16" t="s">
        <v>163</v>
      </c>
      <c r="H25" s="16" t="s">
        <v>164</v>
      </c>
    </row>
    <row r="26" customFormat="false" ht="45.75" hidden="false" customHeight="true" outlineLevel="0" collapsed="false">
      <c r="A26" s="16" t="s">
        <v>165</v>
      </c>
      <c r="B26" s="16" t="s">
        <v>166</v>
      </c>
      <c r="C26" s="16" t="s">
        <v>147</v>
      </c>
      <c r="D26" s="16" t="s">
        <v>167</v>
      </c>
      <c r="E26" s="21" t="s">
        <v>168</v>
      </c>
      <c r="F26" s="22" t="s">
        <v>169</v>
      </c>
      <c r="G26" s="16" t="s">
        <v>170</v>
      </c>
      <c r="H26" s="16" t="s">
        <v>171</v>
      </c>
    </row>
    <row r="27" customFormat="false" ht="34.5" hidden="false" customHeight="true" outlineLevel="0" collapsed="false">
      <c r="A27" s="16" t="s">
        <v>172</v>
      </c>
      <c r="B27" s="16" t="s">
        <v>173</v>
      </c>
      <c r="C27" s="16" t="s">
        <v>147</v>
      </c>
      <c r="D27" s="16" t="s">
        <v>174</v>
      </c>
      <c r="E27" s="21" t="s">
        <v>168</v>
      </c>
      <c r="F27" s="22" t="s">
        <v>169</v>
      </c>
      <c r="G27" s="16" t="s">
        <v>175</v>
      </c>
      <c r="H27" s="16" t="s">
        <v>176</v>
      </c>
    </row>
    <row r="28" customFormat="false" ht="34.5" hidden="false" customHeight="true" outlineLevel="0" collapsed="false">
      <c r="A28" s="16" t="s">
        <v>177</v>
      </c>
      <c r="B28" s="16" t="s">
        <v>178</v>
      </c>
      <c r="C28" s="16" t="s">
        <v>147</v>
      </c>
      <c r="D28" s="16" t="s">
        <v>179</v>
      </c>
      <c r="E28" s="21" t="s">
        <v>168</v>
      </c>
      <c r="F28" s="18" t="s">
        <v>180</v>
      </c>
      <c r="G28" s="16" t="s">
        <v>181</v>
      </c>
      <c r="H28" s="16" t="s">
        <v>182</v>
      </c>
    </row>
    <row r="29" customFormat="false" ht="34.5" hidden="false" customHeight="true" outlineLevel="0" collapsed="false">
      <c r="A29" s="16" t="s">
        <v>183</v>
      </c>
      <c r="B29" s="16" t="s">
        <v>184</v>
      </c>
      <c r="C29" s="16" t="s">
        <v>147</v>
      </c>
      <c r="D29" s="16" t="s">
        <v>185</v>
      </c>
      <c r="E29" s="19" t="s">
        <v>142</v>
      </c>
      <c r="F29" s="20" t="s">
        <v>149</v>
      </c>
      <c r="G29" s="16" t="s">
        <v>186</v>
      </c>
      <c r="H29" s="16" t="s">
        <v>187</v>
      </c>
    </row>
    <row r="30" customFormat="false" ht="34.5" hidden="false" customHeight="true" outlineLevel="0" collapsed="false">
      <c r="A30" s="16" t="s">
        <v>188</v>
      </c>
      <c r="B30" s="16" t="s">
        <v>189</v>
      </c>
      <c r="C30" s="16" t="s">
        <v>190</v>
      </c>
      <c r="D30" s="16" t="s">
        <v>191</v>
      </c>
      <c r="E30" s="21" t="s">
        <v>168</v>
      </c>
      <c r="F30" s="21" t="s">
        <v>156</v>
      </c>
      <c r="G30" s="16" t="s">
        <v>192</v>
      </c>
      <c r="H30" s="16" t="s">
        <v>193</v>
      </c>
    </row>
    <row r="31" customFormat="false" ht="34.5" hidden="false" customHeight="true" outlineLevel="0" collapsed="false">
      <c r="A31" s="16" t="s">
        <v>194</v>
      </c>
      <c r="B31" s="16" t="s">
        <v>195</v>
      </c>
      <c r="C31" s="16" t="s">
        <v>196</v>
      </c>
      <c r="D31" s="16" t="s">
        <v>197</v>
      </c>
      <c r="E31" s="19" t="s">
        <v>142</v>
      </c>
      <c r="F31" s="23" t="s">
        <v>198</v>
      </c>
      <c r="G31" s="16" t="s">
        <v>199</v>
      </c>
      <c r="H31" s="16" t="s">
        <v>200</v>
      </c>
    </row>
    <row r="33" customFormat="false" ht="15" hidden="false" customHeight="true" outlineLevel="0" collapsed="false">
      <c r="A33" s="24" t="s">
        <v>201</v>
      </c>
      <c r="B33" s="25" t="n">
        <f aca="false">COUNTA(A21:A31)</f>
        <v>11</v>
      </c>
    </row>
    <row r="34" customFormat="false" ht="15" hidden="false" customHeight="true" outlineLevel="0" collapsed="false">
      <c r="A34" s="24" t="s">
        <v>202</v>
      </c>
      <c r="B34" s="25" t="n">
        <f aca="false">COUNTIF(F21:F31,"Integrator")</f>
        <v>2</v>
      </c>
    </row>
    <row r="35" customFormat="false" ht="15" hidden="false" customHeight="true" outlineLevel="0" collapsed="false">
      <c r="A35" s="24" t="s">
        <v>203</v>
      </c>
      <c r="B35" s="25" t="n">
        <f aca="false">COUNTA(F21:F31)-COUNTIF(F21:F31,"Integrator")</f>
        <v>9</v>
      </c>
    </row>
    <row r="38" customFormat="false" ht="15" hidden="false" customHeight="true" outlineLevel="0" collapsed="false">
      <c r="A38" s="26" t="s">
        <v>204</v>
      </c>
      <c r="B38" s="26"/>
      <c r="C38" s="26"/>
      <c r="D38" s="26"/>
      <c r="E38" s="26"/>
      <c r="F38" s="26"/>
      <c r="G38" s="26"/>
      <c r="H38" s="26"/>
    </row>
    <row r="39" customFormat="false" ht="15" hidden="false" customHeight="true" outlineLevel="0" collapsed="false">
      <c r="A39" s="27" t="s">
        <v>205</v>
      </c>
      <c r="B39" s="16" t="s">
        <v>206</v>
      </c>
      <c r="C39" s="16"/>
      <c r="D39" s="16"/>
      <c r="E39" s="16"/>
      <c r="F39" s="16"/>
      <c r="G39" s="16"/>
      <c r="H39" s="16"/>
    </row>
    <row r="40" customFormat="false" ht="15" hidden="false" customHeight="true" outlineLevel="0" collapsed="false">
      <c r="A40" s="27" t="s">
        <v>207</v>
      </c>
      <c r="B40" s="16" t="s">
        <v>208</v>
      </c>
      <c r="C40" s="16"/>
      <c r="D40" s="16"/>
      <c r="E40" s="16"/>
      <c r="F40" s="16"/>
      <c r="G40" s="16"/>
      <c r="H40" s="16"/>
    </row>
    <row r="41" customFormat="false" ht="23.25" hidden="false" customHeight="true" outlineLevel="0" collapsed="false">
      <c r="A41" s="27" t="s">
        <v>209</v>
      </c>
      <c r="B41" s="16" t="s">
        <v>210</v>
      </c>
      <c r="C41" s="16"/>
      <c r="D41" s="16"/>
      <c r="E41" s="16"/>
      <c r="F41" s="16"/>
      <c r="G41" s="16"/>
      <c r="H41" s="16"/>
    </row>
    <row r="42" customFormat="false" ht="34.5" hidden="false" customHeight="true" outlineLevel="0" collapsed="false">
      <c r="A42" s="27" t="s">
        <v>211</v>
      </c>
      <c r="B42" s="16" t="s">
        <v>212</v>
      </c>
      <c r="C42" s="16"/>
      <c r="D42" s="16"/>
      <c r="E42" s="16"/>
      <c r="F42" s="16"/>
      <c r="G42" s="16"/>
      <c r="H42" s="16"/>
    </row>
    <row r="43" customFormat="false" ht="23.25" hidden="false" customHeight="true" outlineLevel="0" collapsed="false">
      <c r="A43" s="27" t="s">
        <v>213</v>
      </c>
      <c r="B43" s="16" t="s">
        <v>214</v>
      </c>
      <c r="C43" s="16"/>
      <c r="D43" s="16"/>
      <c r="E43" s="16"/>
      <c r="F43" s="16"/>
      <c r="G43" s="16"/>
      <c r="H43" s="16"/>
    </row>
    <row r="44" customFormat="false" ht="15" hidden="false" customHeight="true" outlineLevel="0" collapsed="false">
      <c r="A44" s="27" t="s">
        <v>215</v>
      </c>
      <c r="B44" s="16" t="s">
        <v>216</v>
      </c>
      <c r="C44" s="16"/>
      <c r="D44" s="16"/>
      <c r="E44" s="16"/>
      <c r="F44" s="16"/>
      <c r="G44" s="16"/>
      <c r="H44" s="16"/>
    </row>
    <row r="47" customFormat="false" ht="15" hidden="false" customHeight="true" outlineLevel="0" collapsed="false">
      <c r="A47" s="26" t="s">
        <v>217</v>
      </c>
      <c r="B47" s="26"/>
      <c r="C47" s="26"/>
      <c r="D47" s="26"/>
      <c r="E47" s="26"/>
      <c r="F47" s="26"/>
      <c r="G47" s="26"/>
      <c r="H47" s="26"/>
    </row>
    <row r="48" customFormat="false" ht="15" hidden="false" customHeight="true" outlineLevel="0" collapsed="false">
      <c r="A48" s="28" t="s">
        <v>218</v>
      </c>
      <c r="B48" s="16" t="s">
        <v>219</v>
      </c>
      <c r="C48" s="16"/>
      <c r="D48" s="16"/>
      <c r="E48" s="16"/>
      <c r="F48" s="16"/>
      <c r="G48" s="16"/>
      <c r="H48" s="16"/>
    </row>
    <row r="49" customFormat="false" ht="23.25" hidden="false" customHeight="true" outlineLevel="0" collapsed="false">
      <c r="A49" s="28" t="s">
        <v>220</v>
      </c>
      <c r="B49" s="16" t="s">
        <v>221</v>
      </c>
      <c r="C49" s="16"/>
      <c r="D49" s="16"/>
      <c r="E49" s="16"/>
      <c r="F49" s="16"/>
      <c r="G49" s="16"/>
      <c r="H49" s="16"/>
    </row>
    <row r="50" customFormat="false" ht="23.25" hidden="false" customHeight="true" outlineLevel="0" collapsed="false">
      <c r="A50" s="28" t="s">
        <v>222</v>
      </c>
      <c r="B50" s="16" t="s">
        <v>223</v>
      </c>
      <c r="C50" s="16"/>
      <c r="D50" s="16"/>
      <c r="E50" s="16"/>
      <c r="F50" s="16"/>
      <c r="G50" s="16"/>
      <c r="H50" s="16"/>
    </row>
    <row r="51" customFormat="false" ht="23.25" hidden="false" customHeight="true" outlineLevel="0" collapsed="false">
      <c r="A51" s="28" t="s">
        <v>224</v>
      </c>
      <c r="B51" s="16" t="s">
        <v>225</v>
      </c>
      <c r="C51" s="16"/>
      <c r="D51" s="16"/>
      <c r="E51" s="16"/>
      <c r="F51" s="16"/>
      <c r="G51" s="16"/>
      <c r="H51" s="16"/>
    </row>
    <row r="52" customFormat="false" ht="23.25" hidden="false" customHeight="true" outlineLevel="0" collapsed="false">
      <c r="A52" s="28" t="s">
        <v>226</v>
      </c>
      <c r="B52" s="16" t="s">
        <v>227</v>
      </c>
      <c r="C52" s="16"/>
      <c r="D52" s="16"/>
      <c r="E52" s="16"/>
      <c r="F52" s="16"/>
      <c r="G52" s="16"/>
      <c r="H52" s="16"/>
    </row>
    <row r="53" customFormat="false" ht="23.25" hidden="false" customHeight="true" outlineLevel="0" collapsed="false">
      <c r="A53" s="28" t="s">
        <v>228</v>
      </c>
      <c r="B53" s="16" t="s">
        <v>229</v>
      </c>
      <c r="C53" s="16"/>
      <c r="D53" s="16"/>
      <c r="E53" s="16"/>
      <c r="F53" s="16"/>
      <c r="G53" s="16"/>
      <c r="H53" s="16"/>
    </row>
    <row r="54" customFormat="false" ht="23.25" hidden="false" customHeight="true" outlineLevel="0" collapsed="false">
      <c r="A54" s="28" t="s">
        <v>230</v>
      </c>
      <c r="B54" s="16" t="s">
        <v>231</v>
      </c>
      <c r="C54" s="16"/>
      <c r="D54" s="16"/>
      <c r="E54" s="16"/>
      <c r="F54" s="16"/>
      <c r="G54" s="16"/>
      <c r="H54" s="16"/>
    </row>
    <row r="55" customFormat="false" ht="23.25" hidden="false" customHeight="true" outlineLevel="0" collapsed="false">
      <c r="A55" s="28" t="s">
        <v>232</v>
      </c>
      <c r="B55" s="16" t="s">
        <v>233</v>
      </c>
      <c r="C55" s="16"/>
      <c r="D55" s="16"/>
      <c r="E55" s="16"/>
      <c r="F55" s="16"/>
      <c r="G55" s="16"/>
      <c r="H55" s="16"/>
    </row>
    <row r="56" customFormat="false" ht="23.25" hidden="false" customHeight="true" outlineLevel="0" collapsed="false">
      <c r="A56" s="28" t="s">
        <v>234</v>
      </c>
      <c r="B56" s="16" t="s">
        <v>235</v>
      </c>
      <c r="C56" s="16"/>
      <c r="D56" s="16"/>
      <c r="E56" s="16"/>
      <c r="F56" s="16"/>
      <c r="G56" s="16"/>
      <c r="H56" s="16"/>
    </row>
    <row r="59" customFormat="false" ht="15" hidden="false" customHeight="true" outlineLevel="0" collapsed="false">
      <c r="A59" s="26" t="s">
        <v>236</v>
      </c>
      <c r="B59" s="26"/>
      <c r="C59" s="26"/>
      <c r="D59" s="26"/>
      <c r="E59" s="26"/>
      <c r="F59" s="26"/>
      <c r="G59" s="26"/>
      <c r="H59" s="26"/>
    </row>
    <row r="60" customFormat="false" ht="15" hidden="false" customHeight="true" outlineLevel="0" collapsed="false">
      <c r="A60" s="29" t="s">
        <v>237</v>
      </c>
      <c r="B60" s="16" t="s">
        <v>238</v>
      </c>
      <c r="C60" s="16"/>
      <c r="D60" s="16"/>
      <c r="E60" s="16"/>
      <c r="F60" s="16"/>
      <c r="G60" s="16"/>
      <c r="H60" s="16"/>
    </row>
    <row r="61" customFormat="false" ht="15" hidden="false" customHeight="true" outlineLevel="0" collapsed="false">
      <c r="A61" s="29" t="s">
        <v>239</v>
      </c>
      <c r="B61" s="16" t="s">
        <v>240</v>
      </c>
      <c r="C61" s="16"/>
      <c r="D61" s="16"/>
      <c r="E61" s="16"/>
      <c r="F61" s="16"/>
      <c r="G61" s="16"/>
      <c r="H61" s="16"/>
    </row>
    <row r="62" customFormat="false" ht="15" hidden="false" customHeight="true" outlineLevel="0" collapsed="false">
      <c r="A62" s="29" t="s">
        <v>241</v>
      </c>
      <c r="B62" s="16" t="s">
        <v>242</v>
      </c>
      <c r="C62" s="16"/>
      <c r="D62" s="16"/>
      <c r="E62" s="16"/>
      <c r="F62" s="16"/>
      <c r="G62" s="16"/>
      <c r="H62" s="16"/>
    </row>
    <row r="63" customFormat="false" ht="15" hidden="false" customHeight="true" outlineLevel="0" collapsed="false">
      <c r="A63" s="29" t="s">
        <v>243</v>
      </c>
      <c r="B63" s="16" t="s">
        <v>244</v>
      </c>
      <c r="C63" s="16"/>
      <c r="D63" s="16"/>
      <c r="E63" s="16"/>
      <c r="F63" s="16"/>
      <c r="G63" s="16"/>
      <c r="H63" s="16"/>
    </row>
    <row r="64" customFormat="false" ht="15" hidden="false" customHeight="true" outlineLevel="0" collapsed="false">
      <c r="A64" s="29" t="s">
        <v>245</v>
      </c>
      <c r="B64" s="16" t="s">
        <v>246</v>
      </c>
      <c r="C64" s="16"/>
      <c r="D64" s="16"/>
      <c r="E64" s="16"/>
      <c r="F64" s="16"/>
      <c r="G64" s="16"/>
      <c r="H64" s="16"/>
    </row>
    <row r="65" customFormat="false" ht="15" hidden="false" customHeight="true" outlineLevel="0" collapsed="false">
      <c r="A65" s="29" t="s">
        <v>247</v>
      </c>
      <c r="B65" s="16" t="s">
        <v>248</v>
      </c>
      <c r="C65" s="16"/>
      <c r="D65" s="16"/>
      <c r="E65" s="16"/>
      <c r="F65" s="16"/>
      <c r="G65" s="16"/>
      <c r="H65" s="16"/>
    </row>
  </sheetData>
  <mergeCells count="35">
    <mergeCell ref="A1:H1"/>
    <mergeCell ref="A2:H2"/>
    <mergeCell ref="A4:H4"/>
    <mergeCell ref="A10:H10"/>
    <mergeCell ref="B11:H11"/>
    <mergeCell ref="B12:H12"/>
    <mergeCell ref="B13:H13"/>
    <mergeCell ref="B14:H14"/>
    <mergeCell ref="B15:H15"/>
    <mergeCell ref="B16:H16"/>
    <mergeCell ref="A19:H19"/>
    <mergeCell ref="A38:H38"/>
    <mergeCell ref="B39:H39"/>
    <mergeCell ref="B40:H40"/>
    <mergeCell ref="B41:H41"/>
    <mergeCell ref="B42:H42"/>
    <mergeCell ref="B43:H43"/>
    <mergeCell ref="B44:H44"/>
    <mergeCell ref="A47:H47"/>
    <mergeCell ref="B48:H48"/>
    <mergeCell ref="B49:H49"/>
    <mergeCell ref="B50:H50"/>
    <mergeCell ref="B51:H51"/>
    <mergeCell ref="B52:H52"/>
    <mergeCell ref="B53:H53"/>
    <mergeCell ref="B54:H54"/>
    <mergeCell ref="B55:H55"/>
    <mergeCell ref="B56:H56"/>
    <mergeCell ref="A59:H59"/>
    <mergeCell ref="B60:H60"/>
    <mergeCell ref="B61:H61"/>
    <mergeCell ref="B62:H62"/>
    <mergeCell ref="B63:H63"/>
    <mergeCell ref="B64:H64"/>
    <mergeCell ref="B65:H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14"/>
    <col collapsed="false" customWidth="true" hidden="false" outlineLevel="0" max="4" min="4" style="1" width="18"/>
    <col collapsed="false" customWidth="true" hidden="false" outlineLevel="0" max="5" min="5" style="1" width="28"/>
    <col collapsed="false" customWidth="true" hidden="false" outlineLevel="0" max="6" min="6" style="1" width="18"/>
    <col collapsed="false" customWidth="true" hidden="false" outlineLevel="0" max="7" min="7" style="1" width="14"/>
  </cols>
  <sheetData>
    <row r="1" customFormat="false" ht="17.25" hidden="false" customHeight="true" outlineLevel="0" collapsed="false">
      <c r="A1" s="9" t="s">
        <v>249</v>
      </c>
      <c r="B1" s="9"/>
      <c r="C1" s="9"/>
      <c r="D1" s="9"/>
      <c r="E1" s="9"/>
      <c r="F1" s="9"/>
      <c r="G1" s="9"/>
    </row>
    <row r="3" customFormat="false" ht="26.25" hidden="false" customHeight="true" outlineLevel="0" collapsed="false">
      <c r="A3" s="12" t="s">
        <v>250</v>
      </c>
      <c r="B3" s="12" t="s">
        <v>251</v>
      </c>
      <c r="C3" s="12" t="s">
        <v>252</v>
      </c>
      <c r="D3" s="12" t="s">
        <v>253</v>
      </c>
      <c r="E3" s="12" t="s">
        <v>254</v>
      </c>
      <c r="F3" s="12" t="s">
        <v>255</v>
      </c>
      <c r="G3" s="12" t="s">
        <v>256</v>
      </c>
    </row>
    <row r="4" customFormat="false" ht="15" hidden="false" customHeight="true" outlineLevel="0" collapsed="false">
      <c r="A4" s="16" t="s">
        <v>257</v>
      </c>
      <c r="B4" s="30" t="n">
        <v>720</v>
      </c>
      <c r="C4" s="30" t="s">
        <v>258</v>
      </c>
      <c r="D4" s="30" t="s">
        <v>259</v>
      </c>
      <c r="E4" s="16" t="s">
        <v>260</v>
      </c>
      <c r="F4" s="30" t="s">
        <v>261</v>
      </c>
      <c r="G4" s="31" t="s">
        <v>262</v>
      </c>
    </row>
    <row r="5" customFormat="false" ht="15" hidden="false" customHeight="true" outlineLevel="0" collapsed="false">
      <c r="A5" s="16" t="s">
        <v>263</v>
      </c>
      <c r="B5" s="30" t="n">
        <v>1300</v>
      </c>
      <c r="C5" s="30" t="s">
        <v>258</v>
      </c>
      <c r="D5" s="30" t="s">
        <v>259</v>
      </c>
      <c r="E5" s="16" t="s">
        <v>264</v>
      </c>
      <c r="F5" s="30" t="s">
        <v>261</v>
      </c>
      <c r="G5" s="31" t="s">
        <v>262</v>
      </c>
    </row>
    <row r="6" customFormat="false" ht="15" hidden="false" customHeight="true" outlineLevel="0" collapsed="false">
      <c r="A6" s="16" t="s">
        <v>265</v>
      </c>
      <c r="B6" s="30" t="n">
        <v>260</v>
      </c>
      <c r="C6" s="30" t="s">
        <v>266</v>
      </c>
      <c r="D6" s="30" t="s">
        <v>267</v>
      </c>
      <c r="E6" s="16" t="s">
        <v>268</v>
      </c>
      <c r="F6" s="30" t="s">
        <v>269</v>
      </c>
      <c r="G6" s="31" t="s">
        <v>262</v>
      </c>
    </row>
    <row r="7" customFormat="false" ht="15" hidden="false" customHeight="true" outlineLevel="0" collapsed="false">
      <c r="A7" s="16" t="s">
        <v>270</v>
      </c>
      <c r="B7" s="30" t="n">
        <v>480</v>
      </c>
      <c r="C7" s="30" t="s">
        <v>258</v>
      </c>
      <c r="D7" s="30" t="s">
        <v>259</v>
      </c>
      <c r="E7" s="16" t="s">
        <v>260</v>
      </c>
      <c r="F7" s="30" t="s">
        <v>269</v>
      </c>
      <c r="G7" s="31" t="s">
        <v>262</v>
      </c>
    </row>
    <row r="8" customFormat="false" ht="15" hidden="false" customHeight="true" outlineLevel="0" collapsed="false">
      <c r="A8" s="16" t="s">
        <v>271</v>
      </c>
      <c r="B8" s="30" t="n">
        <v>170</v>
      </c>
      <c r="C8" s="30" t="s">
        <v>266</v>
      </c>
      <c r="D8" s="30" t="s">
        <v>267</v>
      </c>
      <c r="E8" s="16" t="s">
        <v>268</v>
      </c>
      <c r="F8" s="30" t="s">
        <v>269</v>
      </c>
      <c r="G8" s="31" t="s">
        <v>262</v>
      </c>
    </row>
    <row r="9" customFormat="false" ht="15" hidden="false" customHeight="true" outlineLevel="0" collapsed="false">
      <c r="A9" s="16" t="s">
        <v>272</v>
      </c>
      <c r="B9" s="30" t="n">
        <v>390</v>
      </c>
      <c r="C9" s="30" t="s">
        <v>258</v>
      </c>
      <c r="D9" s="30" t="s">
        <v>259</v>
      </c>
      <c r="E9" s="16" t="s">
        <v>273</v>
      </c>
      <c r="F9" s="30" t="s">
        <v>261</v>
      </c>
      <c r="G9" s="31" t="s">
        <v>262</v>
      </c>
    </row>
    <row r="10" customFormat="false" ht="15" hidden="false" customHeight="true" outlineLevel="0" collapsed="false">
      <c r="A10" s="16" t="s">
        <v>274</v>
      </c>
      <c r="B10" s="30" t="n">
        <v>880</v>
      </c>
      <c r="C10" s="30" t="s">
        <v>258</v>
      </c>
      <c r="D10" s="30" t="s">
        <v>275</v>
      </c>
      <c r="E10" s="16" t="s">
        <v>273</v>
      </c>
      <c r="F10" s="30" t="s">
        <v>269</v>
      </c>
      <c r="G10" s="31" t="s">
        <v>262</v>
      </c>
    </row>
    <row r="11" customFormat="false" ht="15" hidden="false" customHeight="true" outlineLevel="0" collapsed="false">
      <c r="A11" s="16" t="s">
        <v>276</v>
      </c>
      <c r="B11" s="30" t="n">
        <v>320</v>
      </c>
      <c r="C11" s="30" t="s">
        <v>258</v>
      </c>
      <c r="D11" s="30" t="s">
        <v>259</v>
      </c>
      <c r="E11" s="16" t="s">
        <v>277</v>
      </c>
      <c r="F11" s="30" t="s">
        <v>269</v>
      </c>
      <c r="G11" s="31" t="s">
        <v>262</v>
      </c>
    </row>
    <row r="12" customFormat="false" ht="15" hidden="false" customHeight="true" outlineLevel="0" collapsed="false">
      <c r="A12" s="16" t="s">
        <v>278</v>
      </c>
      <c r="B12" s="30" t="n">
        <v>590</v>
      </c>
      <c r="C12" s="30" t="s">
        <v>266</v>
      </c>
      <c r="D12" s="30" t="s">
        <v>275</v>
      </c>
      <c r="E12" s="16" t="s">
        <v>264</v>
      </c>
      <c r="F12" s="30" t="s">
        <v>269</v>
      </c>
      <c r="G12" s="32" t="s">
        <v>279</v>
      </c>
    </row>
    <row r="13" customFormat="false" ht="15" hidden="false" customHeight="true" outlineLevel="0" collapsed="false">
      <c r="A13" s="16" t="s">
        <v>280</v>
      </c>
      <c r="B13" s="30" t="n">
        <v>480</v>
      </c>
      <c r="C13" s="30" t="s">
        <v>266</v>
      </c>
      <c r="D13" s="30" t="s">
        <v>275</v>
      </c>
      <c r="E13" s="16" t="s">
        <v>264</v>
      </c>
      <c r="F13" s="30" t="s">
        <v>261</v>
      </c>
      <c r="G13" s="32" t="s">
        <v>279</v>
      </c>
    </row>
    <row r="14" customFormat="false" ht="15" hidden="false" customHeight="true" outlineLevel="0" collapsed="false">
      <c r="A14" s="16" t="s">
        <v>281</v>
      </c>
      <c r="B14" s="30" t="n">
        <v>140</v>
      </c>
      <c r="C14" s="30" t="s">
        <v>266</v>
      </c>
      <c r="D14" s="30" t="s">
        <v>267</v>
      </c>
      <c r="E14" s="16" t="s">
        <v>282</v>
      </c>
      <c r="F14" s="30" t="s">
        <v>269</v>
      </c>
      <c r="G14" s="32" t="s">
        <v>279</v>
      </c>
    </row>
    <row r="15" customFormat="false" ht="15" hidden="false" customHeight="true" outlineLevel="0" collapsed="false">
      <c r="A15" s="16" t="s">
        <v>283</v>
      </c>
      <c r="B15" s="30" t="n">
        <v>210</v>
      </c>
      <c r="C15" s="30" t="s">
        <v>266</v>
      </c>
      <c r="D15" s="30" t="s">
        <v>275</v>
      </c>
      <c r="E15" s="16" t="s">
        <v>260</v>
      </c>
      <c r="F15" s="30" t="s">
        <v>261</v>
      </c>
      <c r="G15" s="32" t="s">
        <v>279</v>
      </c>
    </row>
    <row r="16" customFormat="false" ht="15" hidden="false" customHeight="true" outlineLevel="0" collapsed="false">
      <c r="A16" s="16" t="s">
        <v>284</v>
      </c>
      <c r="B16" s="30" t="n">
        <v>260</v>
      </c>
      <c r="C16" s="30" t="s">
        <v>266</v>
      </c>
      <c r="D16" s="30" t="s">
        <v>259</v>
      </c>
      <c r="E16" s="16" t="s">
        <v>285</v>
      </c>
      <c r="F16" s="30" t="s">
        <v>269</v>
      </c>
      <c r="G16" s="31" t="s">
        <v>262</v>
      </c>
    </row>
    <row r="17" customFormat="false" ht="15" hidden="false" customHeight="true" outlineLevel="0" collapsed="false">
      <c r="A17" s="16" t="s">
        <v>286</v>
      </c>
      <c r="B17" s="30" t="n">
        <v>180</v>
      </c>
      <c r="C17" s="30" t="s">
        <v>266</v>
      </c>
      <c r="D17" s="30" t="s">
        <v>259</v>
      </c>
      <c r="E17" s="16" t="s">
        <v>287</v>
      </c>
      <c r="F17" s="30" t="s">
        <v>269</v>
      </c>
      <c r="G17" s="32" t="s">
        <v>279</v>
      </c>
    </row>
    <row r="18" customFormat="false" ht="15" hidden="false" customHeight="true" outlineLevel="0" collapsed="false">
      <c r="A18" s="16" t="s">
        <v>288</v>
      </c>
      <c r="B18" s="30" t="n">
        <v>210</v>
      </c>
      <c r="C18" s="30" t="s">
        <v>266</v>
      </c>
      <c r="D18" s="30" t="s">
        <v>259</v>
      </c>
      <c r="E18" s="16" t="s">
        <v>287</v>
      </c>
      <c r="F18" s="30" t="s">
        <v>269</v>
      </c>
      <c r="G18" s="31" t="s">
        <v>262</v>
      </c>
    </row>
    <row r="19" customFormat="false" ht="15" hidden="false" customHeight="true" outlineLevel="0" collapsed="false">
      <c r="A19" s="16" t="s">
        <v>289</v>
      </c>
      <c r="B19" s="30" t="n">
        <v>90</v>
      </c>
      <c r="C19" s="30" t="s">
        <v>266</v>
      </c>
      <c r="D19" s="30" t="s">
        <v>259</v>
      </c>
      <c r="E19" s="16" t="s">
        <v>287</v>
      </c>
      <c r="F19" s="30" t="s">
        <v>261</v>
      </c>
      <c r="G19" s="32" t="s">
        <v>279</v>
      </c>
    </row>
    <row r="20" customFormat="false" ht="15" hidden="false" customHeight="true" outlineLevel="0" collapsed="false">
      <c r="A20" s="16" t="s">
        <v>290</v>
      </c>
      <c r="B20" s="30" t="n">
        <v>320</v>
      </c>
      <c r="C20" s="30" t="s">
        <v>258</v>
      </c>
      <c r="D20" s="30" t="s">
        <v>259</v>
      </c>
      <c r="E20" s="16" t="s">
        <v>291</v>
      </c>
      <c r="F20" s="30" t="s">
        <v>261</v>
      </c>
      <c r="G20" s="32" t="s">
        <v>279</v>
      </c>
    </row>
    <row r="21" customFormat="false" ht="15" hidden="false" customHeight="true" outlineLevel="0" collapsed="false">
      <c r="A21" s="16" t="s">
        <v>292</v>
      </c>
      <c r="B21" s="30" t="n">
        <v>480</v>
      </c>
      <c r="C21" s="30" t="s">
        <v>258</v>
      </c>
      <c r="D21" s="30" t="s">
        <v>259</v>
      </c>
      <c r="E21" s="16" t="s">
        <v>291</v>
      </c>
      <c r="F21" s="30" t="s">
        <v>261</v>
      </c>
      <c r="G21" s="32" t="s">
        <v>279</v>
      </c>
    </row>
    <row r="22" customFormat="false" ht="15" hidden="false" customHeight="true" outlineLevel="0" collapsed="false">
      <c r="A22" s="16" t="s">
        <v>293</v>
      </c>
      <c r="B22" s="30" t="n">
        <v>880</v>
      </c>
      <c r="C22" s="30" t="s">
        <v>258</v>
      </c>
      <c r="D22" s="30" t="s">
        <v>259</v>
      </c>
      <c r="E22" s="16" t="s">
        <v>291</v>
      </c>
      <c r="F22" s="30" t="s">
        <v>269</v>
      </c>
      <c r="G22" s="32" t="s">
        <v>279</v>
      </c>
    </row>
    <row r="23" customFormat="false" ht="15" hidden="false" customHeight="true" outlineLevel="0" collapsed="false">
      <c r="A23" s="16" t="s">
        <v>294</v>
      </c>
      <c r="B23" s="30" t="n">
        <v>260</v>
      </c>
      <c r="C23" s="30" t="s">
        <v>266</v>
      </c>
      <c r="D23" s="30" t="s">
        <v>259</v>
      </c>
      <c r="E23" s="16" t="s">
        <v>277</v>
      </c>
      <c r="F23" s="30" t="s">
        <v>261</v>
      </c>
      <c r="G23" s="32" t="s">
        <v>279</v>
      </c>
    </row>
    <row r="24" customFormat="false" ht="15" hidden="false" customHeight="true" outlineLevel="0" collapsed="false">
      <c r="A24" s="16" t="s">
        <v>295</v>
      </c>
      <c r="B24" s="30" t="n">
        <v>170</v>
      </c>
      <c r="C24" s="30" t="s">
        <v>266</v>
      </c>
      <c r="D24" s="30" t="s">
        <v>259</v>
      </c>
      <c r="E24" s="16" t="s">
        <v>277</v>
      </c>
      <c r="F24" s="30" t="s">
        <v>261</v>
      </c>
      <c r="G24" s="32" t="s">
        <v>279</v>
      </c>
    </row>
    <row r="25" customFormat="false" ht="15" hidden="false" customHeight="true" outlineLevel="0" collapsed="false">
      <c r="A25" s="16" t="s">
        <v>296</v>
      </c>
      <c r="B25" s="30" t="n">
        <v>2900</v>
      </c>
      <c r="C25" s="30" t="s">
        <v>297</v>
      </c>
      <c r="D25" s="30" t="s">
        <v>259</v>
      </c>
      <c r="E25" s="16" t="s">
        <v>298</v>
      </c>
      <c r="F25" s="30" t="s">
        <v>261</v>
      </c>
      <c r="G25" s="33" t="s">
        <v>299</v>
      </c>
    </row>
    <row r="26" customFormat="false" ht="15" hidden="false" customHeight="true" outlineLevel="0" collapsed="false">
      <c r="A26" s="16" t="s">
        <v>300</v>
      </c>
      <c r="B26" s="30" t="n">
        <v>590</v>
      </c>
      <c r="C26" s="30" t="s">
        <v>258</v>
      </c>
      <c r="D26" s="30" t="s">
        <v>259</v>
      </c>
      <c r="E26" s="16" t="s">
        <v>298</v>
      </c>
      <c r="F26" s="30" t="s">
        <v>261</v>
      </c>
      <c r="G26" s="33" t="s">
        <v>299</v>
      </c>
    </row>
    <row r="27" customFormat="false" ht="15" hidden="false" customHeight="true" outlineLevel="0" collapsed="false">
      <c r="A27" s="16" t="s">
        <v>301</v>
      </c>
      <c r="B27" s="30" t="n">
        <v>880</v>
      </c>
      <c r="C27" s="30" t="s">
        <v>258</v>
      </c>
      <c r="D27" s="30" t="s">
        <v>259</v>
      </c>
      <c r="E27" s="16" t="s">
        <v>298</v>
      </c>
      <c r="F27" s="30" t="s">
        <v>269</v>
      </c>
      <c r="G27" s="33" t="s">
        <v>299</v>
      </c>
    </row>
    <row r="28" customFormat="false" ht="15" hidden="false" customHeight="true" outlineLevel="0" collapsed="false">
      <c r="A28" s="16" t="s">
        <v>302</v>
      </c>
      <c r="B28" s="30" t="n">
        <v>390</v>
      </c>
      <c r="C28" s="30" t="s">
        <v>266</v>
      </c>
      <c r="D28" s="30" t="s">
        <v>275</v>
      </c>
      <c r="E28" s="16" t="s">
        <v>260</v>
      </c>
      <c r="F28" s="30" t="s">
        <v>269</v>
      </c>
      <c r="G28" s="32" t="s">
        <v>279</v>
      </c>
    </row>
    <row r="29" customFormat="false" ht="15" hidden="false" customHeight="true" outlineLevel="0" collapsed="false">
      <c r="A29" s="16" t="s">
        <v>303</v>
      </c>
      <c r="B29" s="30" t="n">
        <v>110</v>
      </c>
      <c r="C29" s="30" t="s">
        <v>266</v>
      </c>
      <c r="D29" s="30" t="s">
        <v>275</v>
      </c>
      <c r="E29" s="16" t="s">
        <v>264</v>
      </c>
      <c r="F29" s="30" t="s">
        <v>269</v>
      </c>
      <c r="G29" s="32" t="s">
        <v>279</v>
      </c>
    </row>
    <row r="30" customFormat="false" ht="15" hidden="false" customHeight="true" outlineLevel="0" collapsed="false">
      <c r="A30" s="16" t="s">
        <v>304</v>
      </c>
      <c r="B30" s="30" t="n">
        <v>170</v>
      </c>
      <c r="C30" s="30" t="s">
        <v>266</v>
      </c>
      <c r="D30" s="30" t="s">
        <v>259</v>
      </c>
      <c r="E30" s="16" t="s">
        <v>285</v>
      </c>
      <c r="F30" s="30" t="s">
        <v>269</v>
      </c>
      <c r="G30" s="32" t="s">
        <v>279</v>
      </c>
    </row>
    <row r="31" customFormat="false" ht="15" hidden="false" customHeight="true" outlineLevel="0" collapsed="false">
      <c r="A31" s="16" t="s">
        <v>305</v>
      </c>
      <c r="B31" s="30" t="n">
        <v>210</v>
      </c>
      <c r="C31" s="30" t="s">
        <v>266</v>
      </c>
      <c r="D31" s="30" t="s">
        <v>275</v>
      </c>
      <c r="E31" s="16" t="s">
        <v>264</v>
      </c>
      <c r="F31" s="30" t="s">
        <v>306</v>
      </c>
      <c r="G31" s="33" t="s">
        <v>299</v>
      </c>
    </row>
    <row r="32" customFormat="false" ht="15" hidden="false" customHeight="true" outlineLevel="0" collapsed="false">
      <c r="A32" s="16" t="s">
        <v>307</v>
      </c>
      <c r="B32" s="30" t="n">
        <v>720</v>
      </c>
      <c r="C32" s="30" t="s">
        <v>258</v>
      </c>
      <c r="D32" s="30" t="s">
        <v>259</v>
      </c>
      <c r="E32" s="16" t="s">
        <v>291</v>
      </c>
      <c r="F32" s="30" t="s">
        <v>261</v>
      </c>
      <c r="G32" s="32" t="s">
        <v>279</v>
      </c>
    </row>
    <row r="33" customFormat="false" ht="15" hidden="false" customHeight="true" outlineLevel="0" collapsed="false">
      <c r="A33" s="16" t="s">
        <v>308</v>
      </c>
      <c r="B33" s="30" t="n">
        <v>140</v>
      </c>
      <c r="C33" s="30" t="s">
        <v>266</v>
      </c>
      <c r="D33" s="30" t="s">
        <v>259</v>
      </c>
      <c r="E33" s="16" t="s">
        <v>277</v>
      </c>
      <c r="F33" s="30" t="s">
        <v>269</v>
      </c>
      <c r="G33" s="32" t="s">
        <v>279</v>
      </c>
    </row>
    <row r="34" customFormat="false" ht="15" hidden="false" customHeight="true" outlineLevel="0" collapsed="false">
      <c r="A34" s="16" t="s">
        <v>309</v>
      </c>
      <c r="B34" s="30" t="n">
        <v>170</v>
      </c>
      <c r="C34" s="30" t="s">
        <v>266</v>
      </c>
      <c r="D34" s="30" t="s">
        <v>275</v>
      </c>
      <c r="E34" s="16" t="s">
        <v>273</v>
      </c>
      <c r="F34" s="30" t="s">
        <v>261</v>
      </c>
      <c r="G34" s="31" t="s">
        <v>262</v>
      </c>
    </row>
    <row r="35" customFormat="false" ht="15" hidden="false" customHeight="true" outlineLevel="0" collapsed="false">
      <c r="A35" s="16" t="s">
        <v>310</v>
      </c>
      <c r="B35" s="30" t="n">
        <v>140</v>
      </c>
      <c r="C35" s="30" t="s">
        <v>266</v>
      </c>
      <c r="D35" s="30" t="s">
        <v>259</v>
      </c>
      <c r="E35" s="16" t="s">
        <v>273</v>
      </c>
      <c r="F35" s="30" t="s">
        <v>269</v>
      </c>
      <c r="G35" s="32" t="s">
        <v>279</v>
      </c>
    </row>
    <row r="36" customFormat="false" ht="15" hidden="false" customHeight="true" outlineLevel="0" collapsed="false">
      <c r="A36" s="16" t="s">
        <v>311</v>
      </c>
      <c r="B36" s="30" t="n">
        <v>260</v>
      </c>
      <c r="C36" s="30" t="s">
        <v>266</v>
      </c>
      <c r="D36" s="30" t="s">
        <v>275</v>
      </c>
      <c r="E36" s="16" t="s">
        <v>264</v>
      </c>
      <c r="F36" s="30" t="s">
        <v>269</v>
      </c>
      <c r="G36" s="32" t="s">
        <v>279</v>
      </c>
    </row>
    <row r="37" customFormat="false" ht="15" hidden="false" customHeight="true" outlineLevel="0" collapsed="false">
      <c r="A37" s="16" t="s">
        <v>312</v>
      </c>
      <c r="B37" s="30" t="n">
        <v>170</v>
      </c>
      <c r="C37" s="30" t="s">
        <v>266</v>
      </c>
      <c r="D37" s="30" t="s">
        <v>275</v>
      </c>
      <c r="E37" s="16" t="s">
        <v>260</v>
      </c>
      <c r="F37" s="30" t="s">
        <v>269</v>
      </c>
      <c r="G37" s="32" t="s">
        <v>279</v>
      </c>
    </row>
    <row r="38" customFormat="false" ht="15" hidden="false" customHeight="true" outlineLevel="0" collapsed="false">
      <c r="A38" s="16" t="s">
        <v>313</v>
      </c>
      <c r="B38" s="30" t="n">
        <v>320</v>
      </c>
      <c r="C38" s="30" t="s">
        <v>266</v>
      </c>
      <c r="D38" s="30" t="s">
        <v>259</v>
      </c>
      <c r="E38" s="16" t="s">
        <v>285</v>
      </c>
      <c r="F38" s="30" t="s">
        <v>269</v>
      </c>
      <c r="G38" s="31" t="s">
        <v>262</v>
      </c>
    </row>
    <row r="39" customFormat="false" ht="15" hidden="false" customHeight="true" outlineLevel="0" collapsed="false">
      <c r="A39" s="16" t="s">
        <v>314</v>
      </c>
      <c r="B39" s="30" t="n">
        <v>70</v>
      </c>
      <c r="C39" s="30" t="s">
        <v>266</v>
      </c>
      <c r="D39" s="30" t="s">
        <v>267</v>
      </c>
      <c r="E39" s="16" t="s">
        <v>268</v>
      </c>
      <c r="F39" s="30" t="s">
        <v>269</v>
      </c>
      <c r="G39" s="32" t="s">
        <v>279</v>
      </c>
    </row>
    <row r="40" customFormat="false" ht="15" hidden="false" customHeight="true" outlineLevel="0" collapsed="false">
      <c r="A40" s="16" t="s">
        <v>315</v>
      </c>
      <c r="B40" s="30" t="n">
        <v>90</v>
      </c>
      <c r="C40" s="30" t="s">
        <v>266</v>
      </c>
      <c r="D40" s="30" t="s">
        <v>267</v>
      </c>
      <c r="E40" s="16" t="s">
        <v>268</v>
      </c>
      <c r="F40" s="30" t="s">
        <v>269</v>
      </c>
      <c r="G40" s="32" t="s">
        <v>279</v>
      </c>
    </row>
    <row r="41" customFormat="false" ht="15" hidden="false" customHeight="true" outlineLevel="0" collapsed="false">
      <c r="A41" s="16" t="s">
        <v>316</v>
      </c>
      <c r="B41" s="30" t="n">
        <v>260</v>
      </c>
      <c r="C41" s="30" t="s">
        <v>266</v>
      </c>
      <c r="D41" s="30" t="s">
        <v>259</v>
      </c>
      <c r="E41" s="16" t="s">
        <v>287</v>
      </c>
      <c r="F41" s="30" t="s">
        <v>269</v>
      </c>
      <c r="G41" s="33" t="s">
        <v>299</v>
      </c>
    </row>
    <row r="42" customFormat="false" ht="15" hidden="false" customHeight="true" outlineLevel="0" collapsed="false">
      <c r="A42" s="16" t="s">
        <v>317</v>
      </c>
      <c r="B42" s="30" t="n">
        <v>170</v>
      </c>
      <c r="C42" s="30" t="s">
        <v>266</v>
      </c>
      <c r="D42" s="30" t="s">
        <v>259</v>
      </c>
      <c r="E42" s="16" t="s">
        <v>287</v>
      </c>
      <c r="F42" s="30" t="s">
        <v>269</v>
      </c>
      <c r="G42" s="33" t="s">
        <v>299</v>
      </c>
    </row>
    <row r="43" customFormat="false" ht="15" hidden="false" customHeight="true" outlineLevel="0" collapsed="false">
      <c r="A43" s="16" t="s">
        <v>318</v>
      </c>
      <c r="B43" s="30" t="n">
        <v>90</v>
      </c>
      <c r="C43" s="30" t="s">
        <v>266</v>
      </c>
      <c r="D43" s="30" t="s">
        <v>275</v>
      </c>
      <c r="E43" s="16" t="s">
        <v>291</v>
      </c>
      <c r="F43" s="30" t="s">
        <v>269</v>
      </c>
      <c r="G43" s="33" t="s">
        <v>299</v>
      </c>
    </row>
    <row r="44" customFormat="false" ht="15" hidden="false" customHeight="true" outlineLevel="0" collapsed="false">
      <c r="A44" s="16" t="s">
        <v>319</v>
      </c>
      <c r="B44" s="30" t="n">
        <v>110</v>
      </c>
      <c r="C44" s="30" t="s">
        <v>266</v>
      </c>
      <c r="D44" s="30" t="s">
        <v>275</v>
      </c>
      <c r="E44" s="16" t="s">
        <v>282</v>
      </c>
      <c r="F44" s="30" t="s">
        <v>269</v>
      </c>
      <c r="G44" s="33" t="s">
        <v>299</v>
      </c>
    </row>
    <row r="45" customFormat="false" ht="15" hidden="false" customHeight="true" outlineLevel="0" collapsed="false">
      <c r="A45" s="16" t="s">
        <v>320</v>
      </c>
      <c r="B45" s="30" t="n">
        <v>40</v>
      </c>
      <c r="C45" s="30" t="s">
        <v>266</v>
      </c>
      <c r="D45" s="30" t="s">
        <v>275</v>
      </c>
      <c r="E45" s="16" t="s">
        <v>282</v>
      </c>
      <c r="F45" s="30" t="s">
        <v>269</v>
      </c>
      <c r="G45" s="33" t="s">
        <v>299</v>
      </c>
    </row>
    <row r="46" customFormat="false" ht="15" hidden="false" customHeight="true" outlineLevel="0" collapsed="false">
      <c r="A46" s="16" t="s">
        <v>321</v>
      </c>
      <c r="B46" s="30" t="n">
        <v>390</v>
      </c>
      <c r="C46" s="30" t="s">
        <v>258</v>
      </c>
      <c r="D46" s="30" t="s">
        <v>259</v>
      </c>
      <c r="E46" s="16" t="s">
        <v>264</v>
      </c>
      <c r="F46" s="30" t="s">
        <v>269</v>
      </c>
      <c r="G46" s="32" t="s">
        <v>279</v>
      </c>
    </row>
    <row r="47" customFormat="false" ht="15" hidden="false" customHeight="true" outlineLevel="0" collapsed="false">
      <c r="A47" s="16" t="s">
        <v>322</v>
      </c>
      <c r="B47" s="30" t="n">
        <v>90</v>
      </c>
      <c r="C47" s="30" t="s">
        <v>266</v>
      </c>
      <c r="D47" s="30" t="s">
        <v>259</v>
      </c>
      <c r="E47" s="16" t="s">
        <v>287</v>
      </c>
      <c r="F47" s="30" t="s">
        <v>269</v>
      </c>
      <c r="G47" s="32" t="s">
        <v>279</v>
      </c>
    </row>
    <row r="48" customFormat="false" ht="15" hidden="false" customHeight="true" outlineLevel="0" collapsed="false">
      <c r="A48" s="16" t="s">
        <v>323</v>
      </c>
      <c r="B48" s="30" t="n">
        <v>50</v>
      </c>
      <c r="C48" s="30" t="s">
        <v>266</v>
      </c>
      <c r="D48" s="30" t="s">
        <v>275</v>
      </c>
      <c r="E48" s="16" t="s">
        <v>264</v>
      </c>
      <c r="F48" s="30" t="s">
        <v>269</v>
      </c>
      <c r="G48" s="33" t="s">
        <v>299</v>
      </c>
    </row>
    <row r="51" customFormat="false" ht="15" hidden="false" customHeight="true" outlineLevel="0" collapsed="false">
      <c r="A51" s="24" t="s">
        <v>324</v>
      </c>
      <c r="B51" s="25" t="n">
        <f aca="false">COUNTA(A4:A48)</f>
        <v>45</v>
      </c>
    </row>
    <row r="52" customFormat="false" ht="15" hidden="false" customHeight="true" outlineLevel="0" collapsed="false">
      <c r="A52" s="24" t="s">
        <v>325</v>
      </c>
      <c r="B52" s="25" t="n">
        <f aca="false">SUM(B4:B48)</f>
        <v>17320</v>
      </c>
    </row>
    <row r="53" customFormat="false" ht="15" hidden="false" customHeight="true" outlineLevel="0" collapsed="false">
      <c r="A53" s="24" t="s">
        <v>326</v>
      </c>
      <c r="B53" s="25" t="n">
        <f aca="false">COUNTIF(G4:G48,"P0")</f>
        <v>12</v>
      </c>
    </row>
    <row r="54" customFormat="false" ht="15" hidden="false" customHeight="true" outlineLevel="0" collapsed="false">
      <c r="A54" s="24" t="s">
        <v>279</v>
      </c>
      <c r="B54" s="25" t="n">
        <f aca="false">COUNTIF(G4:G48,"P1")</f>
        <v>23</v>
      </c>
    </row>
    <row r="55" customFormat="false" ht="15" hidden="false" customHeight="true" outlineLevel="0" collapsed="false">
      <c r="A55" s="24" t="s">
        <v>299</v>
      </c>
      <c r="B55" s="25" t="n">
        <f aca="false">COUNTIF(G4:G48,"P2")</f>
        <v>10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5"/>
    <col collapsed="false" customWidth="true" hidden="false" outlineLevel="0" max="3" min="3" style="1" width="40"/>
    <col collapsed="false" customWidth="true" hidden="false" outlineLevel="0" max="4" min="4" style="1" width="30"/>
  </cols>
  <sheetData>
    <row r="1" customFormat="false" ht="17.25" hidden="false" customHeight="true" outlineLevel="0" collapsed="false">
      <c r="A1" s="9" t="s">
        <v>327</v>
      </c>
      <c r="B1" s="9"/>
      <c r="C1" s="9"/>
      <c r="D1" s="9"/>
    </row>
    <row r="3" customFormat="false" ht="15" hidden="false" customHeight="true" outlineLevel="0" collapsed="false">
      <c r="A3" s="12" t="s">
        <v>328</v>
      </c>
      <c r="B3" s="12" t="s">
        <v>329</v>
      </c>
      <c r="C3" s="12" t="s">
        <v>330</v>
      </c>
      <c r="D3" s="12" t="s">
        <v>331</v>
      </c>
    </row>
    <row r="4" customFormat="false" ht="15" hidden="false" customHeight="true" outlineLevel="0" collapsed="false">
      <c r="A4" s="34" t="s">
        <v>260</v>
      </c>
      <c r="B4" s="34" t="s">
        <v>332</v>
      </c>
      <c r="C4" s="34" t="s">
        <v>333</v>
      </c>
      <c r="D4" s="34" t="n">
        <v>7</v>
      </c>
    </row>
    <row r="5" customFormat="false" ht="15" hidden="false" customHeight="true" outlineLevel="0" collapsed="false">
      <c r="A5" s="35" t="s">
        <v>285</v>
      </c>
      <c r="B5" s="35" t="s">
        <v>334</v>
      </c>
      <c r="C5" s="35" t="s">
        <v>335</v>
      </c>
      <c r="D5" s="35" t="n">
        <v>6</v>
      </c>
    </row>
    <row r="6" customFormat="false" ht="15" hidden="false" customHeight="true" outlineLevel="0" collapsed="false">
      <c r="A6" s="36" t="s">
        <v>273</v>
      </c>
      <c r="B6" s="36" t="s">
        <v>336</v>
      </c>
      <c r="C6" s="36" t="s">
        <v>337</v>
      </c>
      <c r="D6" s="36" t="n">
        <v>6</v>
      </c>
    </row>
    <row r="7" customFormat="false" ht="15" hidden="false" customHeight="true" outlineLevel="0" collapsed="false">
      <c r="A7" s="37" t="s">
        <v>264</v>
      </c>
      <c r="B7" s="37" t="s">
        <v>338</v>
      </c>
      <c r="C7" s="37" t="s">
        <v>339</v>
      </c>
      <c r="D7" s="37" t="n">
        <v>7</v>
      </c>
    </row>
    <row r="8" customFormat="false" ht="15" hidden="false" customHeight="true" outlineLevel="0" collapsed="false">
      <c r="A8" s="13" t="s">
        <v>277</v>
      </c>
      <c r="B8" s="13" t="s">
        <v>340</v>
      </c>
      <c r="C8" s="13" t="s">
        <v>341</v>
      </c>
      <c r="D8" s="13" t="n">
        <v>5</v>
      </c>
    </row>
    <row r="9" customFormat="false" ht="15" hidden="false" customHeight="true" outlineLevel="0" collapsed="false">
      <c r="A9" s="38" t="s">
        <v>291</v>
      </c>
      <c r="B9" s="38" t="s">
        <v>342</v>
      </c>
      <c r="C9" s="38" t="s">
        <v>343</v>
      </c>
      <c r="D9" s="38" t="n">
        <v>5</v>
      </c>
    </row>
    <row r="10" customFormat="false" ht="15" hidden="false" customHeight="true" outlineLevel="0" collapsed="false">
      <c r="A10" s="39" t="s">
        <v>282</v>
      </c>
      <c r="B10" s="39" t="s">
        <v>344</v>
      </c>
      <c r="C10" s="39" t="s">
        <v>345</v>
      </c>
      <c r="D10" s="39" t="n">
        <v>4</v>
      </c>
    </row>
    <row r="11" customFormat="false" ht="15" hidden="false" customHeight="true" outlineLevel="0" collapsed="false">
      <c r="A11" s="40" t="s">
        <v>298</v>
      </c>
      <c r="B11" s="40" t="s">
        <v>346</v>
      </c>
      <c r="C11" s="40" t="s">
        <v>347</v>
      </c>
      <c r="D11" s="40" t="n">
        <v>4</v>
      </c>
    </row>
    <row r="12" customFormat="false" ht="15" hidden="false" customHeight="true" outlineLevel="0" collapsed="false">
      <c r="A12" s="41" t="s">
        <v>268</v>
      </c>
      <c r="B12" s="41" t="s">
        <v>348</v>
      </c>
      <c r="C12" s="41" t="s">
        <v>265</v>
      </c>
      <c r="D12" s="41" t="n">
        <v>4</v>
      </c>
    </row>
    <row r="13" customFormat="false" ht="15" hidden="false" customHeight="true" outlineLevel="0" collapsed="false">
      <c r="A13" s="42" t="s">
        <v>287</v>
      </c>
      <c r="B13" s="42" t="s">
        <v>349</v>
      </c>
      <c r="C13" s="42" t="s">
        <v>350</v>
      </c>
      <c r="D13" s="42" t="n">
        <v>4</v>
      </c>
    </row>
    <row r="14" customFormat="false" ht="15" hidden="false" customHeight="true" outlineLevel="0" collapsed="false">
      <c r="A14" s="24" t="s">
        <v>351</v>
      </c>
      <c r="D14" s="24" t="n">
        <f aca="false">SUM(D4:D13)</f>
        <v>52</v>
      </c>
    </row>
    <row r="16" customFormat="false" ht="15" hidden="false" customHeight="true" outlineLevel="0" collapsed="false">
      <c r="A16" s="26" t="s">
        <v>352</v>
      </c>
      <c r="B16" s="26"/>
      <c r="C16" s="26"/>
      <c r="D16" s="26"/>
    </row>
    <row r="17" customFormat="false" ht="15" hidden="false" customHeight="true" outlineLevel="0" collapsed="false">
      <c r="A17" s="43" t="s">
        <v>34</v>
      </c>
      <c r="B17" s="16" t="s">
        <v>353</v>
      </c>
      <c r="C17" s="16"/>
      <c r="D17" s="16"/>
    </row>
    <row r="18" customFormat="false" ht="15" hidden="false" customHeight="true" outlineLevel="0" collapsed="false">
      <c r="A18" s="43" t="s">
        <v>36</v>
      </c>
      <c r="B18" s="16" t="s">
        <v>354</v>
      </c>
      <c r="C18" s="16"/>
      <c r="D18" s="16"/>
    </row>
    <row r="19" customFormat="false" ht="15" hidden="false" customHeight="true" outlineLevel="0" collapsed="false">
      <c r="A19" s="43" t="s">
        <v>38</v>
      </c>
      <c r="B19" s="16" t="s">
        <v>355</v>
      </c>
      <c r="C19" s="16"/>
      <c r="D19" s="16"/>
    </row>
    <row r="20" customFormat="false" ht="15" hidden="false" customHeight="true" outlineLevel="0" collapsed="false">
      <c r="A20" s="43" t="s">
        <v>40</v>
      </c>
      <c r="B20" s="16" t="s">
        <v>356</v>
      </c>
      <c r="C20" s="16"/>
      <c r="D20" s="16"/>
    </row>
    <row r="21" customFormat="false" ht="15" hidden="false" customHeight="true" outlineLevel="0" collapsed="false">
      <c r="A21" s="43" t="s">
        <v>42</v>
      </c>
      <c r="B21" s="16" t="s">
        <v>357</v>
      </c>
      <c r="C21" s="16"/>
      <c r="D21" s="16"/>
    </row>
  </sheetData>
  <mergeCells count="7">
    <mergeCell ref="A1:D1"/>
    <mergeCell ref="A16:D16"/>
    <mergeCell ref="B17:D17"/>
    <mergeCell ref="B18:D18"/>
    <mergeCell ref="B19:D19"/>
    <mergeCell ref="B20:D20"/>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7"/>
    <col collapsed="false" customWidth="true" hidden="false" outlineLevel="0" max="3" min="3" style="1" width="13"/>
    <col collapsed="false" customWidth="true" hidden="false" outlineLevel="0" max="4" min="4" style="1" width="8"/>
    <col collapsed="false" customWidth="true" hidden="false" outlineLevel="0" max="5" min="5" style="1" width="55"/>
    <col collapsed="false" customWidth="true" hidden="false" outlineLevel="0" max="6" min="6" style="1" width="42"/>
    <col collapsed="false" customWidth="true" hidden="false" outlineLevel="0" max="7" min="7" style="1" width="70"/>
    <col collapsed="false" customWidth="true" hidden="false" outlineLevel="0" max="8" min="8" style="1" width="28"/>
    <col collapsed="false" customWidth="true" hidden="false" outlineLevel="0" max="9" min="9" style="1" width="38"/>
    <col collapsed="false" customWidth="true" hidden="false" outlineLevel="0" max="10" min="10" style="1" width="14"/>
    <col collapsed="false" customWidth="true" hidden="false" outlineLevel="0" max="11" min="11" style="1" width="22"/>
    <col collapsed="false" customWidth="true" hidden="false" outlineLevel="0" max="12" min="12" style="1" width="10"/>
    <col collapsed="false" customWidth="true" hidden="false" outlineLevel="0" max="13" min="13" style="1" width="22"/>
    <col collapsed="false" customWidth="true" hidden="false" outlineLevel="0" max="14" min="14" style="1" width="38"/>
  </cols>
  <sheetData>
    <row r="1" customFormat="false" ht="17.25" hidden="false" customHeight="true" outlineLevel="0" collapsed="false">
      <c r="A1" s="9" t="s">
        <v>358</v>
      </c>
      <c r="B1" s="9"/>
      <c r="C1" s="9"/>
      <c r="D1" s="9"/>
      <c r="E1" s="9"/>
      <c r="F1" s="9"/>
      <c r="G1" s="9"/>
      <c r="H1" s="9"/>
      <c r="I1" s="9"/>
      <c r="J1" s="9"/>
      <c r="K1" s="9"/>
      <c r="L1" s="9"/>
      <c r="M1" s="9"/>
      <c r="N1" s="9"/>
    </row>
    <row r="3" customFormat="false" ht="26.25" hidden="false" customHeight="true" outlineLevel="0" collapsed="false">
      <c r="A3" s="12" t="s">
        <v>359</v>
      </c>
      <c r="B3" s="12" t="s">
        <v>360</v>
      </c>
      <c r="C3" s="12" t="s">
        <v>361</v>
      </c>
      <c r="D3" s="12" t="s">
        <v>362</v>
      </c>
      <c r="E3" s="12" t="s">
        <v>363</v>
      </c>
      <c r="F3" s="12" t="s">
        <v>364</v>
      </c>
      <c r="G3" s="12" t="s">
        <v>365</v>
      </c>
      <c r="H3" s="12" t="s">
        <v>366</v>
      </c>
      <c r="I3" s="12" t="s">
        <v>367</v>
      </c>
      <c r="J3" s="12" t="s">
        <v>253</v>
      </c>
      <c r="K3" s="12" t="s">
        <v>254</v>
      </c>
      <c r="L3" s="12" t="s">
        <v>368</v>
      </c>
      <c r="M3" s="12" t="s">
        <v>369</v>
      </c>
      <c r="N3" s="12" t="s">
        <v>370</v>
      </c>
    </row>
    <row r="4" customFormat="false" ht="23.25" hidden="false" customHeight="true" outlineLevel="0" collapsed="false">
      <c r="A4" s="30" t="n">
        <v>1</v>
      </c>
      <c r="B4" s="30" t="s">
        <v>371</v>
      </c>
      <c r="C4" s="44" t="n">
        <v>46146</v>
      </c>
      <c r="D4" s="30" t="s">
        <v>372</v>
      </c>
      <c r="E4" s="16" t="s">
        <v>373</v>
      </c>
      <c r="F4" s="16" t="s">
        <v>374</v>
      </c>
      <c r="G4" s="16" t="s">
        <v>375</v>
      </c>
      <c r="H4" s="16" t="s">
        <v>265</v>
      </c>
      <c r="I4" s="16" t="s">
        <v>376</v>
      </c>
      <c r="J4" s="30" t="s">
        <v>267</v>
      </c>
      <c r="K4" s="41" t="s">
        <v>268</v>
      </c>
      <c r="L4" s="30" t="s">
        <v>377</v>
      </c>
      <c r="M4" s="16" t="s">
        <v>378</v>
      </c>
      <c r="N4" s="16" t="s">
        <v>379</v>
      </c>
    </row>
    <row r="5" customFormat="false" ht="23.25" hidden="false" customHeight="true" outlineLevel="0" collapsed="false">
      <c r="A5" s="30" t="n">
        <v>2</v>
      </c>
      <c r="B5" s="30" t="s">
        <v>371</v>
      </c>
      <c r="C5" s="44" t="n">
        <v>46149</v>
      </c>
      <c r="D5" s="30" t="s">
        <v>380</v>
      </c>
      <c r="E5" s="16" t="s">
        <v>381</v>
      </c>
      <c r="F5" s="16" t="s">
        <v>382</v>
      </c>
      <c r="G5" s="16" t="s">
        <v>383</v>
      </c>
      <c r="H5" s="16" t="s">
        <v>270</v>
      </c>
      <c r="I5" s="16" t="s">
        <v>384</v>
      </c>
      <c r="J5" s="30" t="s">
        <v>259</v>
      </c>
      <c r="K5" s="34" t="s">
        <v>260</v>
      </c>
      <c r="L5" s="30" t="s">
        <v>385</v>
      </c>
      <c r="M5" s="16" t="s">
        <v>386</v>
      </c>
      <c r="N5" s="16" t="s">
        <v>387</v>
      </c>
    </row>
    <row r="6" customFormat="false" ht="23.25" hidden="false" customHeight="true" outlineLevel="0" collapsed="false">
      <c r="A6" s="30" t="n">
        <v>3</v>
      </c>
      <c r="B6" s="30" t="s">
        <v>388</v>
      </c>
      <c r="C6" s="44" t="n">
        <v>46153</v>
      </c>
      <c r="D6" s="30" t="s">
        <v>372</v>
      </c>
      <c r="E6" s="16" t="s">
        <v>389</v>
      </c>
      <c r="F6" s="16" t="s">
        <v>390</v>
      </c>
      <c r="G6" s="16" t="s">
        <v>391</v>
      </c>
      <c r="H6" s="16" t="s">
        <v>263</v>
      </c>
      <c r="I6" s="16" t="s">
        <v>392</v>
      </c>
      <c r="J6" s="30" t="s">
        <v>259</v>
      </c>
      <c r="K6" s="37" t="s">
        <v>264</v>
      </c>
      <c r="L6" s="30" t="s">
        <v>393</v>
      </c>
      <c r="M6" s="16" t="s">
        <v>394</v>
      </c>
      <c r="N6" s="16" t="s">
        <v>395</v>
      </c>
    </row>
    <row r="7" customFormat="false" ht="23.25" hidden="false" customHeight="true" outlineLevel="0" collapsed="false">
      <c r="A7" s="30" t="n">
        <v>4</v>
      </c>
      <c r="B7" s="30" t="s">
        <v>388</v>
      </c>
      <c r="C7" s="44" t="n">
        <v>46156</v>
      </c>
      <c r="D7" s="30" t="s">
        <v>380</v>
      </c>
      <c r="E7" s="16" t="s">
        <v>396</v>
      </c>
      <c r="F7" s="16" t="s">
        <v>397</v>
      </c>
      <c r="G7" s="16" t="s">
        <v>398</v>
      </c>
      <c r="H7" s="16" t="s">
        <v>274</v>
      </c>
      <c r="I7" s="16" t="s">
        <v>399</v>
      </c>
      <c r="J7" s="30" t="s">
        <v>275</v>
      </c>
      <c r="K7" s="36" t="s">
        <v>273</v>
      </c>
      <c r="L7" s="30" t="s">
        <v>400</v>
      </c>
      <c r="M7" s="16" t="s">
        <v>401</v>
      </c>
      <c r="N7" s="16" t="s">
        <v>402</v>
      </c>
    </row>
    <row r="8" customFormat="false" ht="23.25" hidden="false" customHeight="true" outlineLevel="0" collapsed="false">
      <c r="A8" s="30" t="n">
        <v>5</v>
      </c>
      <c r="B8" s="30" t="s">
        <v>403</v>
      </c>
      <c r="C8" s="44" t="n">
        <v>46160</v>
      </c>
      <c r="D8" s="30" t="s">
        <v>372</v>
      </c>
      <c r="E8" s="16" t="s">
        <v>404</v>
      </c>
      <c r="F8" s="16" t="s">
        <v>405</v>
      </c>
      <c r="G8" s="16" t="s">
        <v>406</v>
      </c>
      <c r="H8" s="16" t="s">
        <v>276</v>
      </c>
      <c r="I8" s="16" t="s">
        <v>407</v>
      </c>
      <c r="J8" s="30" t="s">
        <v>259</v>
      </c>
      <c r="K8" s="13" t="s">
        <v>277</v>
      </c>
      <c r="L8" s="30" t="s">
        <v>408</v>
      </c>
      <c r="M8" s="16" t="s">
        <v>409</v>
      </c>
      <c r="N8" s="16" t="s">
        <v>410</v>
      </c>
    </row>
    <row r="9" customFormat="false" ht="23.25" hidden="false" customHeight="true" outlineLevel="0" collapsed="false">
      <c r="A9" s="30" t="n">
        <v>6</v>
      </c>
      <c r="B9" s="30" t="s">
        <v>403</v>
      </c>
      <c r="C9" s="44" t="n">
        <v>46163</v>
      </c>
      <c r="D9" s="30" t="s">
        <v>380</v>
      </c>
      <c r="E9" s="16" t="s">
        <v>411</v>
      </c>
      <c r="F9" s="16" t="s">
        <v>412</v>
      </c>
      <c r="G9" s="16" t="s">
        <v>413</v>
      </c>
      <c r="H9" s="16" t="s">
        <v>278</v>
      </c>
      <c r="I9" s="16" t="s">
        <v>414</v>
      </c>
      <c r="J9" s="30" t="s">
        <v>275</v>
      </c>
      <c r="K9" s="37" t="s">
        <v>264</v>
      </c>
      <c r="L9" s="30" t="s">
        <v>415</v>
      </c>
      <c r="M9" s="16" t="s">
        <v>416</v>
      </c>
      <c r="N9" s="16" t="s">
        <v>417</v>
      </c>
    </row>
    <row r="10" customFormat="false" ht="23.25" hidden="false" customHeight="true" outlineLevel="0" collapsed="false">
      <c r="A10" s="30" t="n">
        <v>7</v>
      </c>
      <c r="B10" s="30" t="s">
        <v>418</v>
      </c>
      <c r="C10" s="44" t="n">
        <v>46167</v>
      </c>
      <c r="D10" s="30" t="s">
        <v>372</v>
      </c>
      <c r="E10" s="16" t="s">
        <v>419</v>
      </c>
      <c r="F10" s="16" t="s">
        <v>420</v>
      </c>
      <c r="G10" s="16" t="s">
        <v>421</v>
      </c>
      <c r="H10" s="16" t="s">
        <v>293</v>
      </c>
      <c r="I10" s="16" t="s">
        <v>422</v>
      </c>
      <c r="J10" s="30" t="s">
        <v>259</v>
      </c>
      <c r="K10" s="38" t="s">
        <v>291</v>
      </c>
      <c r="L10" s="30" t="s">
        <v>377</v>
      </c>
      <c r="M10" s="16" t="s">
        <v>423</v>
      </c>
      <c r="N10" s="16" t="s">
        <v>424</v>
      </c>
    </row>
    <row r="11" customFormat="false" ht="23.25" hidden="false" customHeight="true" outlineLevel="0" collapsed="false">
      <c r="A11" s="30" t="n">
        <v>8</v>
      </c>
      <c r="B11" s="30" t="s">
        <v>418</v>
      </c>
      <c r="C11" s="44" t="n">
        <v>46170</v>
      </c>
      <c r="D11" s="30" t="s">
        <v>380</v>
      </c>
      <c r="E11" s="16" t="s">
        <v>425</v>
      </c>
      <c r="F11" s="16" t="s">
        <v>426</v>
      </c>
      <c r="G11" s="16" t="s">
        <v>427</v>
      </c>
      <c r="H11" s="16" t="s">
        <v>305</v>
      </c>
      <c r="I11" s="16" t="s">
        <v>428</v>
      </c>
      <c r="J11" s="30" t="s">
        <v>275</v>
      </c>
      <c r="K11" s="37" t="s">
        <v>264</v>
      </c>
      <c r="L11" s="30" t="s">
        <v>429</v>
      </c>
      <c r="M11" s="16" t="s">
        <v>430</v>
      </c>
      <c r="N11" s="16" t="s">
        <v>431</v>
      </c>
    </row>
    <row r="12" customFormat="false" ht="23.25" hidden="false" customHeight="true" outlineLevel="0" collapsed="false">
      <c r="A12" s="30" t="n">
        <v>9</v>
      </c>
      <c r="B12" s="30" t="s">
        <v>432</v>
      </c>
      <c r="C12" s="44" t="n">
        <v>46174</v>
      </c>
      <c r="D12" s="30" t="s">
        <v>372</v>
      </c>
      <c r="E12" s="16" t="s">
        <v>433</v>
      </c>
      <c r="F12" s="16" t="s">
        <v>434</v>
      </c>
      <c r="G12" s="16" t="s">
        <v>435</v>
      </c>
      <c r="H12" s="16" t="s">
        <v>271</v>
      </c>
      <c r="I12" s="16" t="s">
        <v>436</v>
      </c>
      <c r="J12" s="30" t="s">
        <v>267</v>
      </c>
      <c r="K12" s="41" t="s">
        <v>268</v>
      </c>
      <c r="L12" s="30" t="s">
        <v>437</v>
      </c>
      <c r="M12" s="16" t="s">
        <v>438</v>
      </c>
      <c r="N12" s="16" t="s">
        <v>439</v>
      </c>
    </row>
    <row r="13" customFormat="false" ht="23.25" hidden="false" customHeight="true" outlineLevel="0" collapsed="false">
      <c r="A13" s="30" t="n">
        <v>10</v>
      </c>
      <c r="B13" s="30" t="s">
        <v>432</v>
      </c>
      <c r="C13" s="44" t="n">
        <v>46177</v>
      </c>
      <c r="D13" s="30" t="s">
        <v>380</v>
      </c>
      <c r="E13" s="16" t="s">
        <v>440</v>
      </c>
      <c r="F13" s="16" t="s">
        <v>441</v>
      </c>
      <c r="G13" s="16" t="s">
        <v>442</v>
      </c>
      <c r="H13" s="16" t="s">
        <v>310</v>
      </c>
      <c r="I13" s="16" t="s">
        <v>443</v>
      </c>
      <c r="J13" s="30" t="s">
        <v>259</v>
      </c>
      <c r="K13" s="36" t="s">
        <v>273</v>
      </c>
      <c r="L13" s="30" t="s">
        <v>393</v>
      </c>
      <c r="M13" s="16" t="s">
        <v>444</v>
      </c>
      <c r="N13" s="16" t="s">
        <v>445</v>
      </c>
    </row>
    <row r="14" customFormat="false" ht="23.25" hidden="false" customHeight="true" outlineLevel="0" collapsed="false">
      <c r="A14" s="30" t="n">
        <v>11</v>
      </c>
      <c r="B14" s="30" t="s">
        <v>446</v>
      </c>
      <c r="C14" s="44" t="n">
        <v>46181</v>
      </c>
      <c r="D14" s="30" t="s">
        <v>372</v>
      </c>
      <c r="E14" s="16" t="s">
        <v>447</v>
      </c>
      <c r="F14" s="16" t="s">
        <v>448</v>
      </c>
      <c r="G14" s="16" t="s">
        <v>449</v>
      </c>
      <c r="H14" s="16" t="s">
        <v>284</v>
      </c>
      <c r="I14" s="16" t="s">
        <v>450</v>
      </c>
      <c r="J14" s="30" t="s">
        <v>259</v>
      </c>
      <c r="K14" s="35" t="s">
        <v>285</v>
      </c>
      <c r="L14" s="30" t="s">
        <v>451</v>
      </c>
      <c r="M14" s="16" t="s">
        <v>452</v>
      </c>
      <c r="N14" s="16" t="s">
        <v>453</v>
      </c>
    </row>
    <row r="15" customFormat="false" ht="23.25" hidden="false" customHeight="true" outlineLevel="0" collapsed="false">
      <c r="A15" s="30" t="n">
        <v>12</v>
      </c>
      <c r="B15" s="30" t="s">
        <v>446</v>
      </c>
      <c r="C15" s="44" t="n">
        <v>46184</v>
      </c>
      <c r="D15" s="30" t="s">
        <v>380</v>
      </c>
      <c r="E15" s="16" t="s">
        <v>454</v>
      </c>
      <c r="F15" s="16" t="s">
        <v>455</v>
      </c>
      <c r="G15" s="16" t="s">
        <v>456</v>
      </c>
      <c r="H15" s="16" t="s">
        <v>294</v>
      </c>
      <c r="I15" s="16" t="s">
        <v>457</v>
      </c>
      <c r="J15" s="30" t="s">
        <v>275</v>
      </c>
      <c r="K15" s="13" t="s">
        <v>277</v>
      </c>
      <c r="L15" s="30" t="s">
        <v>415</v>
      </c>
      <c r="M15" s="16" t="s">
        <v>458</v>
      </c>
      <c r="N15" s="16" t="s">
        <v>459</v>
      </c>
    </row>
    <row r="16" customFormat="false" ht="23.25" hidden="false" customHeight="true" outlineLevel="0" collapsed="false">
      <c r="A16" s="30" t="n">
        <v>13</v>
      </c>
      <c r="B16" s="30" t="s">
        <v>460</v>
      </c>
      <c r="C16" s="44" t="n">
        <v>46188</v>
      </c>
      <c r="D16" s="30" t="s">
        <v>372</v>
      </c>
      <c r="E16" s="16" t="s">
        <v>461</v>
      </c>
      <c r="F16" s="16" t="s">
        <v>462</v>
      </c>
      <c r="G16" s="16" t="s">
        <v>463</v>
      </c>
      <c r="H16" s="16" t="s">
        <v>302</v>
      </c>
      <c r="I16" s="16" t="s">
        <v>464</v>
      </c>
      <c r="J16" s="30" t="s">
        <v>275</v>
      </c>
      <c r="K16" s="34" t="s">
        <v>260</v>
      </c>
      <c r="L16" s="30" t="s">
        <v>437</v>
      </c>
      <c r="M16" s="16" t="s">
        <v>465</v>
      </c>
      <c r="N16" s="16" t="s">
        <v>466</v>
      </c>
    </row>
    <row r="17" customFormat="false" ht="23.25" hidden="false" customHeight="true" outlineLevel="0" collapsed="false">
      <c r="A17" s="30" t="n">
        <v>14</v>
      </c>
      <c r="B17" s="30" t="s">
        <v>460</v>
      </c>
      <c r="C17" s="44" t="n">
        <v>46191</v>
      </c>
      <c r="D17" s="30" t="s">
        <v>380</v>
      </c>
      <c r="E17" s="16" t="s">
        <v>467</v>
      </c>
      <c r="F17" s="16" t="s">
        <v>468</v>
      </c>
      <c r="G17" s="16" t="s">
        <v>469</v>
      </c>
      <c r="H17" s="16" t="s">
        <v>288</v>
      </c>
      <c r="I17" s="16" t="s">
        <v>470</v>
      </c>
      <c r="J17" s="30" t="s">
        <v>259</v>
      </c>
      <c r="K17" s="42" t="s">
        <v>287</v>
      </c>
      <c r="L17" s="30" t="s">
        <v>393</v>
      </c>
      <c r="M17" s="16" t="s">
        <v>471</v>
      </c>
      <c r="N17" s="16" t="s">
        <v>472</v>
      </c>
    </row>
    <row r="18" customFormat="false" ht="23.25" hidden="false" customHeight="true" outlineLevel="0" collapsed="false">
      <c r="A18" s="30" t="n">
        <v>15</v>
      </c>
      <c r="B18" s="30" t="s">
        <v>473</v>
      </c>
      <c r="C18" s="44" t="n">
        <v>46195</v>
      </c>
      <c r="D18" s="30" t="s">
        <v>372</v>
      </c>
      <c r="E18" s="16" t="s">
        <v>474</v>
      </c>
      <c r="F18" s="16" t="s">
        <v>475</v>
      </c>
      <c r="G18" s="16" t="s">
        <v>476</v>
      </c>
      <c r="H18" s="16" t="s">
        <v>319</v>
      </c>
      <c r="I18" s="16" t="s">
        <v>477</v>
      </c>
      <c r="J18" s="30" t="s">
        <v>275</v>
      </c>
      <c r="K18" s="39" t="s">
        <v>282</v>
      </c>
      <c r="L18" s="30" t="s">
        <v>377</v>
      </c>
      <c r="M18" s="16" t="s">
        <v>478</v>
      </c>
      <c r="N18" s="16" t="s">
        <v>479</v>
      </c>
    </row>
    <row r="19" customFormat="false" ht="23.25" hidden="false" customHeight="true" outlineLevel="0" collapsed="false">
      <c r="A19" s="30" t="n">
        <v>16</v>
      </c>
      <c r="B19" s="30" t="s">
        <v>473</v>
      </c>
      <c r="C19" s="44" t="n">
        <v>46198</v>
      </c>
      <c r="D19" s="30" t="s">
        <v>380</v>
      </c>
      <c r="E19" s="16" t="s">
        <v>480</v>
      </c>
      <c r="F19" s="16" t="s">
        <v>481</v>
      </c>
      <c r="G19" s="16" t="s">
        <v>482</v>
      </c>
      <c r="H19" s="16" t="s">
        <v>283</v>
      </c>
      <c r="I19" s="16" t="s">
        <v>483</v>
      </c>
      <c r="J19" s="30" t="s">
        <v>275</v>
      </c>
      <c r="K19" s="34" t="s">
        <v>260</v>
      </c>
      <c r="L19" s="30" t="s">
        <v>408</v>
      </c>
      <c r="M19" s="16" t="s">
        <v>484</v>
      </c>
      <c r="N19" s="16" t="s">
        <v>485</v>
      </c>
    </row>
    <row r="20" customFormat="false" ht="23.25" hidden="false" customHeight="true" outlineLevel="0" collapsed="false">
      <c r="A20" s="30" t="n">
        <v>17</v>
      </c>
      <c r="B20" s="30" t="s">
        <v>486</v>
      </c>
      <c r="C20" s="44" t="n">
        <v>46202</v>
      </c>
      <c r="D20" s="30" t="s">
        <v>372</v>
      </c>
      <c r="E20" s="16" t="s">
        <v>487</v>
      </c>
      <c r="F20" s="16" t="s">
        <v>488</v>
      </c>
      <c r="G20" s="16" t="s">
        <v>489</v>
      </c>
      <c r="H20" s="16" t="s">
        <v>295</v>
      </c>
      <c r="I20" s="16" t="s">
        <v>490</v>
      </c>
      <c r="J20" s="30" t="s">
        <v>259</v>
      </c>
      <c r="K20" s="13" t="s">
        <v>277</v>
      </c>
      <c r="L20" s="30" t="s">
        <v>437</v>
      </c>
      <c r="M20" s="16" t="s">
        <v>491</v>
      </c>
      <c r="N20" s="16" t="s">
        <v>492</v>
      </c>
    </row>
    <row r="21" customFormat="false" ht="23.25" hidden="false" customHeight="true" outlineLevel="0" collapsed="false">
      <c r="A21" s="30" t="n">
        <v>18</v>
      </c>
      <c r="B21" s="30" t="s">
        <v>486</v>
      </c>
      <c r="C21" s="44" t="n">
        <v>46205</v>
      </c>
      <c r="D21" s="30" t="s">
        <v>380</v>
      </c>
      <c r="E21" s="16" t="s">
        <v>493</v>
      </c>
      <c r="F21" s="16" t="s">
        <v>494</v>
      </c>
      <c r="G21" s="16" t="s">
        <v>495</v>
      </c>
      <c r="H21" s="16" t="s">
        <v>311</v>
      </c>
      <c r="I21" s="16" t="s">
        <v>496</v>
      </c>
      <c r="J21" s="30" t="s">
        <v>275</v>
      </c>
      <c r="K21" s="37" t="s">
        <v>264</v>
      </c>
      <c r="L21" s="30" t="s">
        <v>415</v>
      </c>
      <c r="M21" s="16" t="s">
        <v>497</v>
      </c>
      <c r="N21" s="16" t="s">
        <v>498</v>
      </c>
    </row>
    <row r="22" customFormat="false" ht="23.25" hidden="false" customHeight="true" outlineLevel="0" collapsed="false">
      <c r="A22" s="30" t="n">
        <v>19</v>
      </c>
      <c r="B22" s="30" t="s">
        <v>499</v>
      </c>
      <c r="C22" s="44" t="n">
        <v>46209</v>
      </c>
      <c r="D22" s="30" t="s">
        <v>372</v>
      </c>
      <c r="E22" s="16" t="s">
        <v>500</v>
      </c>
      <c r="F22" s="16" t="s">
        <v>501</v>
      </c>
      <c r="G22" s="16" t="s">
        <v>502</v>
      </c>
      <c r="H22" s="16" t="s">
        <v>290</v>
      </c>
      <c r="I22" s="16" t="s">
        <v>503</v>
      </c>
      <c r="J22" s="30" t="s">
        <v>259</v>
      </c>
      <c r="K22" s="38" t="s">
        <v>291</v>
      </c>
      <c r="L22" s="30" t="s">
        <v>377</v>
      </c>
      <c r="M22" s="16" t="s">
        <v>504</v>
      </c>
      <c r="N22" s="16" t="s">
        <v>505</v>
      </c>
    </row>
    <row r="23" customFormat="false" ht="23.25" hidden="false" customHeight="true" outlineLevel="0" collapsed="false">
      <c r="A23" s="30" t="n">
        <v>20</v>
      </c>
      <c r="B23" s="30" t="s">
        <v>499</v>
      </c>
      <c r="C23" s="44" t="n">
        <v>46212</v>
      </c>
      <c r="D23" s="30" t="s">
        <v>380</v>
      </c>
      <c r="E23" s="16" t="s">
        <v>506</v>
      </c>
      <c r="F23" s="16" t="s">
        <v>507</v>
      </c>
      <c r="G23" s="16" t="s">
        <v>508</v>
      </c>
      <c r="H23" s="16" t="s">
        <v>303</v>
      </c>
      <c r="I23" s="16" t="s">
        <v>509</v>
      </c>
      <c r="J23" s="30" t="s">
        <v>275</v>
      </c>
      <c r="K23" s="37" t="s">
        <v>264</v>
      </c>
      <c r="L23" s="30" t="s">
        <v>429</v>
      </c>
      <c r="M23" s="16" t="s">
        <v>510</v>
      </c>
      <c r="N23" s="16" t="s">
        <v>511</v>
      </c>
    </row>
    <row r="24" customFormat="false" ht="23.25" hidden="false" customHeight="true" outlineLevel="0" collapsed="false">
      <c r="A24" s="30" t="n">
        <v>21</v>
      </c>
      <c r="B24" s="30" t="s">
        <v>512</v>
      </c>
      <c r="C24" s="44" t="n">
        <v>46216</v>
      </c>
      <c r="D24" s="30" t="s">
        <v>372</v>
      </c>
      <c r="E24" s="16" t="s">
        <v>513</v>
      </c>
      <c r="F24" s="16" t="s">
        <v>514</v>
      </c>
      <c r="G24" s="16" t="s">
        <v>515</v>
      </c>
      <c r="H24" s="16" t="s">
        <v>304</v>
      </c>
      <c r="I24" s="16" t="s">
        <v>516</v>
      </c>
      <c r="J24" s="30" t="s">
        <v>259</v>
      </c>
      <c r="K24" s="35" t="s">
        <v>285</v>
      </c>
      <c r="L24" s="30" t="s">
        <v>451</v>
      </c>
      <c r="M24" s="16" t="s">
        <v>517</v>
      </c>
      <c r="N24" s="16" t="s">
        <v>518</v>
      </c>
    </row>
    <row r="25" customFormat="false" ht="23.25" hidden="false" customHeight="true" outlineLevel="0" collapsed="false">
      <c r="A25" s="30" t="n">
        <v>22</v>
      </c>
      <c r="B25" s="30" t="s">
        <v>512</v>
      </c>
      <c r="C25" s="44" t="n">
        <v>46219</v>
      </c>
      <c r="D25" s="30" t="s">
        <v>380</v>
      </c>
      <c r="E25" s="16" t="s">
        <v>519</v>
      </c>
      <c r="F25" s="16" t="s">
        <v>520</v>
      </c>
      <c r="G25" s="16" t="s">
        <v>521</v>
      </c>
      <c r="H25" s="16" t="s">
        <v>307</v>
      </c>
      <c r="I25" s="16" t="s">
        <v>522</v>
      </c>
      <c r="J25" s="30" t="s">
        <v>259</v>
      </c>
      <c r="K25" s="38" t="s">
        <v>291</v>
      </c>
      <c r="L25" s="30" t="s">
        <v>377</v>
      </c>
      <c r="M25" s="16" t="s">
        <v>523</v>
      </c>
      <c r="N25" s="16" t="s">
        <v>524</v>
      </c>
    </row>
    <row r="26" customFormat="false" ht="23.25" hidden="false" customHeight="true" outlineLevel="0" collapsed="false">
      <c r="A26" s="30" t="n">
        <v>23</v>
      </c>
      <c r="B26" s="30" t="s">
        <v>525</v>
      </c>
      <c r="C26" s="44" t="n">
        <v>46223</v>
      </c>
      <c r="D26" s="30" t="s">
        <v>372</v>
      </c>
      <c r="E26" s="16" t="s">
        <v>526</v>
      </c>
      <c r="F26" s="16" t="s">
        <v>527</v>
      </c>
      <c r="G26" s="16" t="s">
        <v>528</v>
      </c>
      <c r="H26" s="16" t="s">
        <v>308</v>
      </c>
      <c r="I26" s="16" t="s">
        <v>529</v>
      </c>
      <c r="J26" s="30" t="s">
        <v>259</v>
      </c>
      <c r="K26" s="13" t="s">
        <v>277</v>
      </c>
      <c r="L26" s="30" t="s">
        <v>393</v>
      </c>
      <c r="M26" s="16" t="s">
        <v>530</v>
      </c>
      <c r="N26" s="16" t="s">
        <v>410</v>
      </c>
    </row>
    <row r="27" customFormat="false" ht="23.25" hidden="false" customHeight="true" outlineLevel="0" collapsed="false">
      <c r="A27" s="30" t="n">
        <v>24</v>
      </c>
      <c r="B27" s="30" t="s">
        <v>525</v>
      </c>
      <c r="C27" s="44" t="n">
        <v>46226</v>
      </c>
      <c r="D27" s="30" t="s">
        <v>380</v>
      </c>
      <c r="E27" s="16" t="s">
        <v>531</v>
      </c>
      <c r="F27" s="16" t="s">
        <v>532</v>
      </c>
      <c r="G27" s="16" t="s">
        <v>533</v>
      </c>
      <c r="H27" s="16" t="s">
        <v>313</v>
      </c>
      <c r="I27" s="16" t="s">
        <v>534</v>
      </c>
      <c r="J27" s="30" t="s">
        <v>259</v>
      </c>
      <c r="K27" s="35" t="s">
        <v>285</v>
      </c>
      <c r="L27" s="30" t="s">
        <v>437</v>
      </c>
      <c r="M27" s="16" t="s">
        <v>535</v>
      </c>
      <c r="N27" s="16" t="s">
        <v>536</v>
      </c>
    </row>
    <row r="28" customFormat="false" ht="23.25" hidden="false" customHeight="true" outlineLevel="0" collapsed="false">
      <c r="A28" s="30" t="n">
        <v>25</v>
      </c>
      <c r="B28" s="30" t="s">
        <v>537</v>
      </c>
      <c r="C28" s="44" t="n">
        <v>46230</v>
      </c>
      <c r="D28" s="30" t="s">
        <v>372</v>
      </c>
      <c r="E28" s="16" t="s">
        <v>538</v>
      </c>
      <c r="F28" s="16" t="s">
        <v>539</v>
      </c>
      <c r="G28" s="16" t="s">
        <v>540</v>
      </c>
      <c r="H28" s="16" t="s">
        <v>309</v>
      </c>
      <c r="I28" s="16" t="s">
        <v>541</v>
      </c>
      <c r="J28" s="30" t="s">
        <v>275</v>
      </c>
      <c r="K28" s="36" t="s">
        <v>273</v>
      </c>
      <c r="L28" s="30" t="s">
        <v>408</v>
      </c>
      <c r="M28" s="16" t="s">
        <v>542</v>
      </c>
      <c r="N28" s="16" t="s">
        <v>543</v>
      </c>
    </row>
    <row r="29" customFormat="false" ht="23.25" hidden="false" customHeight="true" outlineLevel="0" collapsed="false">
      <c r="A29" s="30" t="n">
        <v>26</v>
      </c>
      <c r="B29" s="30" t="s">
        <v>537</v>
      </c>
      <c r="C29" s="44" t="n">
        <v>46233</v>
      </c>
      <c r="D29" s="30" t="s">
        <v>380</v>
      </c>
      <c r="E29" s="16" t="s">
        <v>544</v>
      </c>
      <c r="F29" s="16" t="s">
        <v>545</v>
      </c>
      <c r="G29" s="16" t="s">
        <v>546</v>
      </c>
      <c r="H29" s="16" t="s">
        <v>316</v>
      </c>
      <c r="I29" s="16" t="s">
        <v>547</v>
      </c>
      <c r="J29" s="30" t="s">
        <v>259</v>
      </c>
      <c r="K29" s="42" t="s">
        <v>287</v>
      </c>
      <c r="L29" s="30" t="s">
        <v>415</v>
      </c>
      <c r="M29" s="16" t="s">
        <v>548</v>
      </c>
      <c r="N29" s="16" t="s">
        <v>549</v>
      </c>
    </row>
    <row r="30" customFormat="false" ht="23.25" hidden="false" customHeight="true" outlineLevel="0" collapsed="false">
      <c r="A30" s="30" t="n">
        <v>27</v>
      </c>
      <c r="B30" s="30" t="s">
        <v>550</v>
      </c>
      <c r="C30" s="44" t="n">
        <v>46237</v>
      </c>
      <c r="D30" s="30" t="s">
        <v>372</v>
      </c>
      <c r="E30" s="16" t="s">
        <v>551</v>
      </c>
      <c r="F30" s="16" t="s">
        <v>552</v>
      </c>
      <c r="G30" s="16" t="s">
        <v>553</v>
      </c>
      <c r="H30" s="16" t="s">
        <v>321</v>
      </c>
      <c r="I30" s="16" t="s">
        <v>554</v>
      </c>
      <c r="J30" s="30" t="s">
        <v>275</v>
      </c>
      <c r="K30" s="37" t="s">
        <v>264</v>
      </c>
      <c r="L30" s="30" t="s">
        <v>377</v>
      </c>
      <c r="M30" s="16" t="s">
        <v>555</v>
      </c>
      <c r="N30" s="16" t="s">
        <v>556</v>
      </c>
    </row>
    <row r="31" customFormat="false" ht="23.25" hidden="false" customHeight="true" outlineLevel="0" collapsed="false">
      <c r="A31" s="30" t="n">
        <v>28</v>
      </c>
      <c r="B31" s="30" t="s">
        <v>550</v>
      </c>
      <c r="C31" s="44" t="n">
        <v>46240</v>
      </c>
      <c r="D31" s="30" t="s">
        <v>380</v>
      </c>
      <c r="E31" s="16" t="s">
        <v>557</v>
      </c>
      <c r="F31" s="16" t="s">
        <v>558</v>
      </c>
      <c r="G31" s="16" t="s">
        <v>559</v>
      </c>
      <c r="H31" s="16" t="s">
        <v>286</v>
      </c>
      <c r="I31" s="16" t="s">
        <v>560</v>
      </c>
      <c r="J31" s="30" t="s">
        <v>259</v>
      </c>
      <c r="K31" s="42" t="s">
        <v>287</v>
      </c>
      <c r="L31" s="30" t="s">
        <v>385</v>
      </c>
      <c r="M31" s="16" t="s">
        <v>561</v>
      </c>
      <c r="N31" s="16" t="s">
        <v>562</v>
      </c>
    </row>
    <row r="32" customFormat="false" ht="23.25" hidden="false" customHeight="true" outlineLevel="0" collapsed="false">
      <c r="A32" s="30" t="n">
        <v>29</v>
      </c>
      <c r="B32" s="30" t="s">
        <v>563</v>
      </c>
      <c r="C32" s="44" t="n">
        <v>46244</v>
      </c>
      <c r="D32" s="30" t="s">
        <v>372</v>
      </c>
      <c r="E32" s="16" t="s">
        <v>564</v>
      </c>
      <c r="F32" s="16" t="s">
        <v>565</v>
      </c>
      <c r="G32" s="16" t="s">
        <v>566</v>
      </c>
      <c r="H32" s="16" t="s">
        <v>312</v>
      </c>
      <c r="I32" s="16" t="s">
        <v>567</v>
      </c>
      <c r="J32" s="30" t="s">
        <v>275</v>
      </c>
      <c r="K32" s="34" t="s">
        <v>260</v>
      </c>
      <c r="L32" s="30" t="s">
        <v>437</v>
      </c>
      <c r="M32" s="16" t="s">
        <v>568</v>
      </c>
      <c r="N32" s="16" t="s">
        <v>569</v>
      </c>
    </row>
    <row r="33" customFormat="false" ht="23.25" hidden="false" customHeight="true" outlineLevel="0" collapsed="false">
      <c r="A33" s="30" t="n">
        <v>30</v>
      </c>
      <c r="B33" s="30" t="s">
        <v>563</v>
      </c>
      <c r="C33" s="44" t="n">
        <v>46247</v>
      </c>
      <c r="D33" s="30" t="s">
        <v>380</v>
      </c>
      <c r="E33" s="16" t="s">
        <v>570</v>
      </c>
      <c r="F33" s="16" t="s">
        <v>571</v>
      </c>
      <c r="G33" s="16" t="s">
        <v>572</v>
      </c>
      <c r="H33" s="16" t="s">
        <v>289</v>
      </c>
      <c r="I33" s="16" t="s">
        <v>573</v>
      </c>
      <c r="J33" s="30" t="s">
        <v>259</v>
      </c>
      <c r="K33" s="42" t="s">
        <v>287</v>
      </c>
      <c r="L33" s="30" t="s">
        <v>385</v>
      </c>
      <c r="M33" s="16" t="s">
        <v>574</v>
      </c>
      <c r="N33" s="16" t="s">
        <v>575</v>
      </c>
    </row>
    <row r="34" customFormat="false" ht="23.25" hidden="false" customHeight="true" outlineLevel="0" collapsed="false">
      <c r="A34" s="30" t="n">
        <v>31</v>
      </c>
      <c r="B34" s="30" t="s">
        <v>576</v>
      </c>
      <c r="C34" s="44" t="n">
        <v>46251</v>
      </c>
      <c r="D34" s="30" t="s">
        <v>372</v>
      </c>
      <c r="E34" s="16" t="s">
        <v>577</v>
      </c>
      <c r="F34" s="16" t="s">
        <v>578</v>
      </c>
      <c r="G34" s="16" t="s">
        <v>579</v>
      </c>
      <c r="H34" s="16" t="s">
        <v>315</v>
      </c>
      <c r="I34" s="16" t="s">
        <v>580</v>
      </c>
      <c r="J34" s="30" t="s">
        <v>267</v>
      </c>
      <c r="K34" s="41" t="s">
        <v>268</v>
      </c>
      <c r="L34" s="30" t="s">
        <v>581</v>
      </c>
      <c r="M34" s="16" t="s">
        <v>582</v>
      </c>
      <c r="N34" s="16" t="s">
        <v>583</v>
      </c>
    </row>
    <row r="35" customFormat="false" ht="23.25" hidden="false" customHeight="true" outlineLevel="0" collapsed="false">
      <c r="A35" s="30" t="n">
        <v>32</v>
      </c>
      <c r="B35" s="30" t="s">
        <v>576</v>
      </c>
      <c r="C35" s="44" t="n">
        <v>46254</v>
      </c>
      <c r="D35" s="30" t="s">
        <v>380</v>
      </c>
      <c r="E35" s="16" t="s">
        <v>584</v>
      </c>
      <c r="F35" s="16" t="s">
        <v>585</v>
      </c>
      <c r="G35" s="16" t="s">
        <v>586</v>
      </c>
      <c r="H35" s="16" t="s">
        <v>317</v>
      </c>
      <c r="I35" s="16" t="s">
        <v>587</v>
      </c>
      <c r="J35" s="30" t="s">
        <v>259</v>
      </c>
      <c r="K35" s="42" t="s">
        <v>287</v>
      </c>
      <c r="L35" s="30" t="s">
        <v>437</v>
      </c>
      <c r="M35" s="16" t="s">
        <v>588</v>
      </c>
      <c r="N35" s="16" t="s">
        <v>589</v>
      </c>
    </row>
    <row r="36" customFormat="false" ht="23.25" hidden="false" customHeight="true" outlineLevel="0" collapsed="false">
      <c r="A36" s="30" t="n">
        <v>33</v>
      </c>
      <c r="B36" s="30" t="s">
        <v>590</v>
      </c>
      <c r="C36" s="44" t="n">
        <v>46258</v>
      </c>
      <c r="D36" s="30" t="s">
        <v>372</v>
      </c>
      <c r="E36" s="16" t="s">
        <v>591</v>
      </c>
      <c r="F36" s="16" t="s">
        <v>592</v>
      </c>
      <c r="G36" s="16" t="s">
        <v>593</v>
      </c>
      <c r="H36" s="16" t="s">
        <v>301</v>
      </c>
      <c r="I36" s="16" t="s">
        <v>594</v>
      </c>
      <c r="J36" s="30" t="s">
        <v>259</v>
      </c>
      <c r="K36" s="40" t="s">
        <v>298</v>
      </c>
      <c r="L36" s="30" t="s">
        <v>408</v>
      </c>
      <c r="M36" s="16" t="s">
        <v>595</v>
      </c>
      <c r="N36" s="16" t="s">
        <v>596</v>
      </c>
    </row>
    <row r="37" customFormat="false" ht="23.25" hidden="false" customHeight="true" outlineLevel="0" collapsed="false">
      <c r="A37" s="30" t="n">
        <v>34</v>
      </c>
      <c r="B37" s="30" t="s">
        <v>590</v>
      </c>
      <c r="C37" s="44" t="n">
        <v>46261</v>
      </c>
      <c r="D37" s="30" t="s">
        <v>380</v>
      </c>
      <c r="E37" s="16" t="s">
        <v>597</v>
      </c>
      <c r="F37" s="16" t="s">
        <v>598</v>
      </c>
      <c r="G37" s="16" t="s">
        <v>599</v>
      </c>
      <c r="H37" s="16" t="s">
        <v>303</v>
      </c>
      <c r="I37" s="16" t="s">
        <v>600</v>
      </c>
      <c r="J37" s="30" t="s">
        <v>259</v>
      </c>
      <c r="K37" s="42" t="s">
        <v>287</v>
      </c>
      <c r="L37" s="30" t="s">
        <v>408</v>
      </c>
      <c r="M37" s="16" t="s">
        <v>601</v>
      </c>
      <c r="N37" s="16" t="s">
        <v>602</v>
      </c>
    </row>
    <row r="38" customFormat="false" ht="23.25" hidden="false" customHeight="true" outlineLevel="0" collapsed="false">
      <c r="A38" s="30" t="n">
        <v>35</v>
      </c>
      <c r="B38" s="30" t="s">
        <v>603</v>
      </c>
      <c r="C38" s="44" t="n">
        <v>46265</v>
      </c>
      <c r="D38" s="30" t="s">
        <v>372</v>
      </c>
      <c r="E38" s="16" t="s">
        <v>604</v>
      </c>
      <c r="F38" s="16" t="s">
        <v>605</v>
      </c>
      <c r="G38" s="16" t="s">
        <v>606</v>
      </c>
      <c r="H38" s="16" t="s">
        <v>314</v>
      </c>
      <c r="I38" s="16" t="s">
        <v>607</v>
      </c>
      <c r="J38" s="30" t="s">
        <v>267</v>
      </c>
      <c r="K38" s="41" t="s">
        <v>268</v>
      </c>
      <c r="L38" s="30" t="s">
        <v>608</v>
      </c>
      <c r="M38" s="16" t="s">
        <v>609</v>
      </c>
      <c r="N38" s="16" t="s">
        <v>610</v>
      </c>
    </row>
    <row r="39" customFormat="false" ht="23.25" hidden="false" customHeight="true" outlineLevel="0" collapsed="false">
      <c r="A39" s="30" t="n">
        <v>36</v>
      </c>
      <c r="B39" s="30" t="s">
        <v>603</v>
      </c>
      <c r="C39" s="44" t="n">
        <v>46268</v>
      </c>
      <c r="D39" s="30" t="s">
        <v>380</v>
      </c>
      <c r="E39" s="16" t="s">
        <v>611</v>
      </c>
      <c r="F39" s="16" t="s">
        <v>612</v>
      </c>
      <c r="G39" s="16" t="s">
        <v>613</v>
      </c>
      <c r="H39" s="16" t="s">
        <v>318</v>
      </c>
      <c r="I39" s="16" t="s">
        <v>614</v>
      </c>
      <c r="J39" s="30" t="s">
        <v>275</v>
      </c>
      <c r="K39" s="38" t="s">
        <v>291</v>
      </c>
      <c r="L39" s="30" t="s">
        <v>437</v>
      </c>
      <c r="M39" s="16" t="s">
        <v>615</v>
      </c>
      <c r="N39" s="16" t="s">
        <v>616</v>
      </c>
    </row>
    <row r="40" customFormat="false" ht="23.25" hidden="false" customHeight="true" outlineLevel="0" collapsed="false">
      <c r="A40" s="30" t="n">
        <v>37</v>
      </c>
      <c r="B40" s="30" t="s">
        <v>617</v>
      </c>
      <c r="C40" s="44" t="n">
        <v>46272</v>
      </c>
      <c r="D40" s="30" t="s">
        <v>372</v>
      </c>
      <c r="E40" s="16" t="s">
        <v>618</v>
      </c>
      <c r="F40" s="16" t="s">
        <v>619</v>
      </c>
      <c r="G40" s="16" t="s">
        <v>620</v>
      </c>
      <c r="H40" s="16" t="s">
        <v>320</v>
      </c>
      <c r="I40" s="16" t="s">
        <v>621</v>
      </c>
      <c r="J40" s="30" t="s">
        <v>275</v>
      </c>
      <c r="K40" s="39" t="s">
        <v>282</v>
      </c>
      <c r="L40" s="30" t="s">
        <v>451</v>
      </c>
      <c r="M40" s="16" t="s">
        <v>622</v>
      </c>
      <c r="N40" s="16" t="s">
        <v>623</v>
      </c>
    </row>
    <row r="41" customFormat="false" ht="23.25" hidden="false" customHeight="true" outlineLevel="0" collapsed="false">
      <c r="A41" s="30" t="n">
        <v>38</v>
      </c>
      <c r="B41" s="30" t="s">
        <v>617</v>
      </c>
      <c r="C41" s="44" t="n">
        <v>46275</v>
      </c>
      <c r="D41" s="30" t="s">
        <v>380</v>
      </c>
      <c r="E41" s="16" t="s">
        <v>624</v>
      </c>
      <c r="F41" s="16" t="s">
        <v>625</v>
      </c>
      <c r="G41" s="16" t="s">
        <v>626</v>
      </c>
      <c r="H41" s="16" t="s">
        <v>322</v>
      </c>
      <c r="I41" s="16" t="s">
        <v>627</v>
      </c>
      <c r="J41" s="30" t="s">
        <v>259</v>
      </c>
      <c r="K41" s="42" t="s">
        <v>287</v>
      </c>
      <c r="L41" s="30" t="s">
        <v>628</v>
      </c>
      <c r="M41" s="16" t="s">
        <v>629</v>
      </c>
      <c r="N41" s="16" t="s">
        <v>630</v>
      </c>
    </row>
    <row r="42" customFormat="false" ht="23.25" hidden="false" customHeight="true" outlineLevel="0" collapsed="false">
      <c r="A42" s="30" t="n">
        <v>39</v>
      </c>
      <c r="B42" s="30" t="s">
        <v>631</v>
      </c>
      <c r="C42" s="44" t="n">
        <v>46279</v>
      </c>
      <c r="D42" s="30" t="s">
        <v>372</v>
      </c>
      <c r="E42" s="16" t="s">
        <v>632</v>
      </c>
      <c r="F42" s="16" t="s">
        <v>633</v>
      </c>
      <c r="G42" s="16" t="s">
        <v>634</v>
      </c>
      <c r="H42" s="16" t="s">
        <v>257</v>
      </c>
      <c r="I42" s="16" t="s">
        <v>635</v>
      </c>
      <c r="J42" s="30" t="s">
        <v>275</v>
      </c>
      <c r="K42" s="34" t="s">
        <v>260</v>
      </c>
      <c r="L42" s="30" t="s">
        <v>581</v>
      </c>
      <c r="M42" s="16" t="s">
        <v>636</v>
      </c>
      <c r="N42" s="16" t="s">
        <v>637</v>
      </c>
    </row>
    <row r="43" customFormat="false" ht="23.25" hidden="false" customHeight="true" outlineLevel="0" collapsed="false">
      <c r="A43" s="30" t="n">
        <v>40</v>
      </c>
      <c r="B43" s="30" t="s">
        <v>631</v>
      </c>
      <c r="C43" s="44" t="n">
        <v>46282</v>
      </c>
      <c r="D43" s="30" t="s">
        <v>380</v>
      </c>
      <c r="E43" s="16" t="s">
        <v>638</v>
      </c>
      <c r="F43" s="16" t="s">
        <v>639</v>
      </c>
      <c r="G43" s="16" t="s">
        <v>640</v>
      </c>
      <c r="H43" s="16" t="s">
        <v>278</v>
      </c>
      <c r="I43" s="16" t="s">
        <v>641</v>
      </c>
      <c r="J43" s="30" t="s">
        <v>275</v>
      </c>
      <c r="K43" s="37" t="s">
        <v>264</v>
      </c>
      <c r="L43" s="30" t="s">
        <v>377</v>
      </c>
      <c r="M43" s="16" t="s">
        <v>642</v>
      </c>
      <c r="N43" s="16" t="s">
        <v>643</v>
      </c>
    </row>
    <row r="44" customFormat="false" ht="23.25" hidden="false" customHeight="true" outlineLevel="0" collapsed="false">
      <c r="A44" s="30" t="n">
        <v>41</v>
      </c>
      <c r="B44" s="30" t="s">
        <v>644</v>
      </c>
      <c r="C44" s="44" t="n">
        <v>46286</v>
      </c>
      <c r="D44" s="30" t="s">
        <v>372</v>
      </c>
      <c r="E44" s="16" t="s">
        <v>645</v>
      </c>
      <c r="F44" s="16" t="s">
        <v>646</v>
      </c>
      <c r="G44" s="16" t="s">
        <v>647</v>
      </c>
      <c r="H44" s="16" t="s">
        <v>274</v>
      </c>
      <c r="I44" s="16" t="s">
        <v>648</v>
      </c>
      <c r="J44" s="30" t="s">
        <v>275</v>
      </c>
      <c r="K44" s="36" t="s">
        <v>273</v>
      </c>
      <c r="L44" s="30" t="s">
        <v>429</v>
      </c>
      <c r="M44" s="16" t="s">
        <v>649</v>
      </c>
      <c r="N44" s="16" t="s">
        <v>650</v>
      </c>
    </row>
    <row r="45" customFormat="false" ht="23.25" hidden="false" customHeight="true" outlineLevel="0" collapsed="false">
      <c r="A45" s="30" t="n">
        <v>42</v>
      </c>
      <c r="B45" s="30" t="s">
        <v>644</v>
      </c>
      <c r="C45" s="44" t="n">
        <v>46289</v>
      </c>
      <c r="D45" s="30" t="s">
        <v>380</v>
      </c>
      <c r="E45" s="16" t="s">
        <v>651</v>
      </c>
      <c r="F45" s="16" t="s">
        <v>652</v>
      </c>
      <c r="G45" s="16" t="s">
        <v>653</v>
      </c>
      <c r="H45" s="16" t="s">
        <v>323</v>
      </c>
      <c r="I45" s="16" t="s">
        <v>654</v>
      </c>
      <c r="J45" s="30" t="s">
        <v>275</v>
      </c>
      <c r="K45" s="37" t="s">
        <v>264</v>
      </c>
      <c r="L45" s="30" t="s">
        <v>451</v>
      </c>
      <c r="M45" s="16" t="s">
        <v>655</v>
      </c>
      <c r="N45" s="16" t="s">
        <v>656</v>
      </c>
    </row>
    <row r="46" customFormat="false" ht="23.25" hidden="false" customHeight="true" outlineLevel="0" collapsed="false">
      <c r="A46" s="30" t="n">
        <v>43</v>
      </c>
      <c r="B46" s="30" t="s">
        <v>657</v>
      </c>
      <c r="C46" s="44" t="n">
        <v>46293</v>
      </c>
      <c r="D46" s="30" t="s">
        <v>372</v>
      </c>
      <c r="E46" s="16" t="s">
        <v>658</v>
      </c>
      <c r="F46" s="16" t="s">
        <v>659</v>
      </c>
      <c r="G46" s="16" t="s">
        <v>660</v>
      </c>
      <c r="H46" s="16" t="s">
        <v>265</v>
      </c>
      <c r="I46" s="16" t="s">
        <v>661</v>
      </c>
      <c r="J46" s="30" t="s">
        <v>267</v>
      </c>
      <c r="K46" s="41" t="s">
        <v>268</v>
      </c>
      <c r="L46" s="30" t="s">
        <v>581</v>
      </c>
      <c r="M46" s="16" t="s">
        <v>662</v>
      </c>
      <c r="N46" s="16" t="s">
        <v>663</v>
      </c>
    </row>
    <row r="47" customFormat="false" ht="23.25" hidden="false" customHeight="true" outlineLevel="0" collapsed="false">
      <c r="A47" s="30" t="n">
        <v>44</v>
      </c>
      <c r="B47" s="30" t="s">
        <v>657</v>
      </c>
      <c r="C47" s="44" t="n">
        <v>46296</v>
      </c>
      <c r="D47" s="30" t="s">
        <v>380</v>
      </c>
      <c r="E47" s="16" t="s">
        <v>664</v>
      </c>
      <c r="F47" s="16" t="s">
        <v>665</v>
      </c>
      <c r="G47" s="16" t="s">
        <v>666</v>
      </c>
      <c r="H47" s="16" t="s">
        <v>286</v>
      </c>
      <c r="I47" s="16" t="s">
        <v>667</v>
      </c>
      <c r="J47" s="30" t="s">
        <v>259</v>
      </c>
      <c r="K47" s="42" t="s">
        <v>287</v>
      </c>
      <c r="L47" s="30" t="s">
        <v>408</v>
      </c>
      <c r="M47" s="16" t="s">
        <v>668</v>
      </c>
      <c r="N47" s="16" t="s">
        <v>669</v>
      </c>
    </row>
    <row r="48" customFormat="false" ht="23.25" hidden="false" customHeight="true" outlineLevel="0" collapsed="false">
      <c r="A48" s="30" t="n">
        <v>45</v>
      </c>
      <c r="B48" s="30" t="s">
        <v>670</v>
      </c>
      <c r="C48" s="44" t="n">
        <v>46300</v>
      </c>
      <c r="D48" s="30" t="s">
        <v>372</v>
      </c>
      <c r="E48" s="16" t="s">
        <v>671</v>
      </c>
      <c r="F48" s="16" t="s">
        <v>672</v>
      </c>
      <c r="G48" s="16" t="s">
        <v>673</v>
      </c>
      <c r="H48" s="16" t="s">
        <v>296</v>
      </c>
      <c r="I48" s="16" t="s">
        <v>674</v>
      </c>
      <c r="J48" s="30" t="s">
        <v>259</v>
      </c>
      <c r="K48" s="40" t="s">
        <v>298</v>
      </c>
      <c r="L48" s="30" t="s">
        <v>429</v>
      </c>
      <c r="M48" s="16" t="s">
        <v>675</v>
      </c>
      <c r="N48" s="16" t="s">
        <v>676</v>
      </c>
    </row>
    <row r="49" customFormat="false" ht="23.25" hidden="false" customHeight="true" outlineLevel="0" collapsed="false">
      <c r="A49" s="30" t="n">
        <v>46</v>
      </c>
      <c r="B49" s="30" t="s">
        <v>670</v>
      </c>
      <c r="C49" s="44" t="n">
        <v>46303</v>
      </c>
      <c r="D49" s="30" t="s">
        <v>380</v>
      </c>
      <c r="E49" s="16" t="s">
        <v>677</v>
      </c>
      <c r="F49" s="16" t="s">
        <v>678</v>
      </c>
      <c r="G49" s="16" t="s">
        <v>679</v>
      </c>
      <c r="H49" s="16" t="s">
        <v>300</v>
      </c>
      <c r="I49" s="16" t="s">
        <v>680</v>
      </c>
      <c r="J49" s="30" t="s">
        <v>259</v>
      </c>
      <c r="K49" s="40" t="s">
        <v>298</v>
      </c>
      <c r="L49" s="30" t="s">
        <v>393</v>
      </c>
      <c r="M49" s="16" t="s">
        <v>681</v>
      </c>
      <c r="N49" s="16" t="s">
        <v>682</v>
      </c>
    </row>
    <row r="50" customFormat="false" ht="23.25" hidden="false" customHeight="true" outlineLevel="0" collapsed="false">
      <c r="A50" s="30" t="n">
        <v>47</v>
      </c>
      <c r="B50" s="30" t="s">
        <v>683</v>
      </c>
      <c r="C50" s="44" t="n">
        <v>46307</v>
      </c>
      <c r="D50" s="30" t="s">
        <v>372</v>
      </c>
      <c r="E50" s="16" t="s">
        <v>684</v>
      </c>
      <c r="F50" s="16" t="s">
        <v>685</v>
      </c>
      <c r="G50" s="16" t="s">
        <v>686</v>
      </c>
      <c r="H50" s="16" t="s">
        <v>308</v>
      </c>
      <c r="I50" s="16" t="s">
        <v>687</v>
      </c>
      <c r="J50" s="30" t="s">
        <v>259</v>
      </c>
      <c r="K50" s="42" t="s">
        <v>287</v>
      </c>
      <c r="L50" s="30" t="s">
        <v>377</v>
      </c>
      <c r="M50" s="16" t="s">
        <v>688</v>
      </c>
      <c r="N50" s="16" t="s">
        <v>689</v>
      </c>
    </row>
    <row r="51" customFormat="false" ht="23.25" hidden="false" customHeight="true" outlineLevel="0" collapsed="false">
      <c r="A51" s="30" t="n">
        <v>48</v>
      </c>
      <c r="B51" s="30" t="s">
        <v>683</v>
      </c>
      <c r="C51" s="44" t="n">
        <v>46310</v>
      </c>
      <c r="D51" s="30" t="s">
        <v>380</v>
      </c>
      <c r="E51" s="16" t="s">
        <v>690</v>
      </c>
      <c r="F51" s="16" t="s">
        <v>691</v>
      </c>
      <c r="G51" s="16" t="s">
        <v>692</v>
      </c>
      <c r="H51" s="16" t="s">
        <v>257</v>
      </c>
      <c r="I51" s="16" t="s">
        <v>693</v>
      </c>
      <c r="J51" s="30" t="s">
        <v>275</v>
      </c>
      <c r="K51" s="34" t="s">
        <v>260</v>
      </c>
      <c r="L51" s="30" t="s">
        <v>437</v>
      </c>
      <c r="M51" s="16" t="s">
        <v>694</v>
      </c>
      <c r="N51" s="16" t="s">
        <v>695</v>
      </c>
    </row>
    <row r="52" customFormat="false" ht="23.25" hidden="false" customHeight="true" outlineLevel="0" collapsed="false">
      <c r="A52" s="30" t="n">
        <v>49</v>
      </c>
      <c r="B52" s="30" t="s">
        <v>696</v>
      </c>
      <c r="C52" s="44" t="n">
        <v>46314</v>
      </c>
      <c r="D52" s="30" t="s">
        <v>372</v>
      </c>
      <c r="E52" s="16" t="s">
        <v>697</v>
      </c>
      <c r="F52" s="16" t="s">
        <v>698</v>
      </c>
      <c r="G52" s="16" t="s">
        <v>699</v>
      </c>
      <c r="H52" s="16" t="s">
        <v>308</v>
      </c>
      <c r="I52" s="16" t="s">
        <v>700</v>
      </c>
      <c r="J52" s="30" t="s">
        <v>259</v>
      </c>
      <c r="K52" s="13" t="s">
        <v>277</v>
      </c>
      <c r="L52" s="30" t="s">
        <v>451</v>
      </c>
      <c r="M52" s="16" t="s">
        <v>701</v>
      </c>
      <c r="N52" s="16" t="s">
        <v>702</v>
      </c>
    </row>
    <row r="53" customFormat="false" ht="23.25" hidden="false" customHeight="true" outlineLevel="0" collapsed="false">
      <c r="A53" s="30" t="n">
        <v>50</v>
      </c>
      <c r="B53" s="30" t="s">
        <v>696</v>
      </c>
      <c r="C53" s="44" t="n">
        <v>46317</v>
      </c>
      <c r="D53" s="30" t="s">
        <v>380</v>
      </c>
      <c r="E53" s="16" t="s">
        <v>703</v>
      </c>
      <c r="F53" s="16" t="s">
        <v>704</v>
      </c>
      <c r="G53" s="16" t="s">
        <v>705</v>
      </c>
      <c r="H53" s="16" t="s">
        <v>270</v>
      </c>
      <c r="I53" s="16" t="s">
        <v>706</v>
      </c>
      <c r="J53" s="30" t="s">
        <v>275</v>
      </c>
      <c r="K53" s="34" t="s">
        <v>260</v>
      </c>
      <c r="L53" s="30" t="s">
        <v>581</v>
      </c>
      <c r="M53" s="16" t="s">
        <v>707</v>
      </c>
      <c r="N53" s="16" t="s">
        <v>708</v>
      </c>
    </row>
    <row r="54" customFormat="false" ht="23.25" hidden="false" customHeight="true" outlineLevel="0" collapsed="false">
      <c r="A54" s="30" t="n">
        <v>51</v>
      </c>
      <c r="B54" s="30" t="s">
        <v>709</v>
      </c>
      <c r="C54" s="44" t="n">
        <v>46321</v>
      </c>
      <c r="D54" s="30" t="s">
        <v>372</v>
      </c>
      <c r="E54" s="16" t="s">
        <v>710</v>
      </c>
      <c r="F54" s="16" t="s">
        <v>711</v>
      </c>
      <c r="G54" s="16" t="s">
        <v>712</v>
      </c>
      <c r="H54" s="16" t="s">
        <v>303</v>
      </c>
      <c r="I54" s="16" t="s">
        <v>713</v>
      </c>
      <c r="J54" s="30" t="s">
        <v>275</v>
      </c>
      <c r="K54" s="34" t="s">
        <v>260</v>
      </c>
      <c r="L54" s="30" t="s">
        <v>393</v>
      </c>
      <c r="M54" s="16" t="s">
        <v>714</v>
      </c>
      <c r="N54" s="16" t="s">
        <v>715</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4" min="3" style="1" width="15"/>
  </cols>
  <sheetData>
    <row r="1" customFormat="false" ht="17.25" hidden="false" customHeight="true" outlineLevel="0" collapsed="false">
      <c r="A1" s="9" t="s">
        <v>716</v>
      </c>
      <c r="B1" s="9"/>
      <c r="C1" s="9"/>
      <c r="D1" s="9"/>
    </row>
    <row r="3" customFormat="false" ht="15" hidden="false" customHeight="true" outlineLevel="0" collapsed="false">
      <c r="A3" s="12" t="s">
        <v>717</v>
      </c>
      <c r="B3" s="12" t="s">
        <v>718</v>
      </c>
      <c r="C3" s="12" t="s">
        <v>256</v>
      </c>
      <c r="D3" s="12" t="s">
        <v>719</v>
      </c>
    </row>
    <row r="4" customFormat="false" ht="23.25" hidden="false" customHeight="true" outlineLevel="0" collapsed="false">
      <c r="A4" s="30" t="s">
        <v>720</v>
      </c>
      <c r="B4" s="16" t="s">
        <v>721</v>
      </c>
      <c r="C4" s="31" t="s">
        <v>262</v>
      </c>
      <c r="D4" s="30" t="s">
        <v>142</v>
      </c>
    </row>
    <row r="5" customFormat="false" ht="23.25" hidden="false" customHeight="true" outlineLevel="0" collapsed="false">
      <c r="A5" s="30" t="s">
        <v>720</v>
      </c>
      <c r="B5" s="16" t="s">
        <v>722</v>
      </c>
      <c r="C5" s="31" t="s">
        <v>262</v>
      </c>
      <c r="D5" s="30" t="s">
        <v>142</v>
      </c>
    </row>
    <row r="6" customFormat="false" ht="23.25" hidden="false" customHeight="true" outlineLevel="0" collapsed="false">
      <c r="A6" s="30" t="s">
        <v>723</v>
      </c>
      <c r="B6" s="16" t="s">
        <v>724</v>
      </c>
      <c r="C6" s="31" t="s">
        <v>262</v>
      </c>
      <c r="D6" s="30" t="s">
        <v>142</v>
      </c>
    </row>
    <row r="7" customFormat="false" ht="23.25" hidden="false" customHeight="true" outlineLevel="0" collapsed="false">
      <c r="A7" s="30" t="s">
        <v>725</v>
      </c>
      <c r="B7" s="16" t="s">
        <v>726</v>
      </c>
      <c r="C7" s="31" t="s">
        <v>262</v>
      </c>
      <c r="D7" s="30" t="s">
        <v>134</v>
      </c>
    </row>
    <row r="8" customFormat="false" ht="23.25" hidden="false" customHeight="true" outlineLevel="0" collapsed="false">
      <c r="A8" s="30" t="s">
        <v>725</v>
      </c>
      <c r="B8" s="16" t="s">
        <v>727</v>
      </c>
      <c r="C8" s="32" t="s">
        <v>279</v>
      </c>
      <c r="D8" s="30" t="s">
        <v>142</v>
      </c>
    </row>
    <row r="9" customFormat="false" ht="23.25" hidden="false" customHeight="true" outlineLevel="0" collapsed="false">
      <c r="A9" s="30" t="s">
        <v>728</v>
      </c>
      <c r="B9" s="16" t="s">
        <v>729</v>
      </c>
      <c r="C9" s="32" t="s">
        <v>279</v>
      </c>
      <c r="D9" s="30" t="s">
        <v>134</v>
      </c>
    </row>
    <row r="10" customFormat="false" ht="23.25" hidden="false" customHeight="true" outlineLevel="0" collapsed="false">
      <c r="A10" s="30" t="s">
        <v>730</v>
      </c>
      <c r="B10" s="16" t="s">
        <v>731</v>
      </c>
      <c r="C10" s="31" t="s">
        <v>262</v>
      </c>
      <c r="D10" s="30" t="s">
        <v>142</v>
      </c>
    </row>
    <row r="11" customFormat="false" ht="23.25" hidden="false" customHeight="true" outlineLevel="0" collapsed="false">
      <c r="A11" s="30" t="s">
        <v>730</v>
      </c>
      <c r="B11" s="16" t="s">
        <v>732</v>
      </c>
      <c r="C11" s="31" t="s">
        <v>262</v>
      </c>
      <c r="D11" s="30" t="s">
        <v>142</v>
      </c>
    </row>
    <row r="12" customFormat="false" ht="23.25" hidden="false" customHeight="true" outlineLevel="0" collapsed="false">
      <c r="A12" s="30" t="s">
        <v>730</v>
      </c>
      <c r="B12" s="16" t="s">
        <v>733</v>
      </c>
      <c r="C12" s="32" t="s">
        <v>279</v>
      </c>
      <c r="D12" s="30" t="s">
        <v>142</v>
      </c>
    </row>
    <row r="13" customFormat="false" ht="15" hidden="false" customHeight="true" outlineLevel="0" collapsed="false">
      <c r="A13" s="30" t="s">
        <v>730</v>
      </c>
      <c r="B13" s="16" t="s">
        <v>734</v>
      </c>
      <c r="C13" s="32" t="s">
        <v>279</v>
      </c>
      <c r="D13" s="30" t="s">
        <v>142</v>
      </c>
    </row>
    <row r="14" customFormat="false" ht="23.25" hidden="false" customHeight="true" outlineLevel="0" collapsed="false">
      <c r="A14" s="30" t="s">
        <v>730</v>
      </c>
      <c r="B14" s="16" t="s">
        <v>735</v>
      </c>
      <c r="C14" s="32" t="s">
        <v>279</v>
      </c>
      <c r="D14" s="30" t="s">
        <v>142</v>
      </c>
    </row>
    <row r="15" customFormat="false" ht="23.25" hidden="false" customHeight="true" outlineLevel="0" collapsed="false">
      <c r="A15" s="30" t="s">
        <v>736</v>
      </c>
      <c r="B15" s="16" t="s">
        <v>737</v>
      </c>
      <c r="C15" s="31" t="s">
        <v>262</v>
      </c>
      <c r="D15" s="30" t="s">
        <v>134</v>
      </c>
    </row>
    <row r="16" customFormat="false" ht="23.25" hidden="false" customHeight="true" outlineLevel="0" collapsed="false">
      <c r="A16" s="30" t="s">
        <v>736</v>
      </c>
      <c r="B16" s="16" t="s">
        <v>738</v>
      </c>
      <c r="C16" s="31" t="s">
        <v>262</v>
      </c>
      <c r="D16" s="30" t="s">
        <v>297</v>
      </c>
    </row>
    <row r="17" customFormat="false" ht="15" hidden="false" customHeight="true" outlineLevel="0" collapsed="false">
      <c r="A17" s="30" t="s">
        <v>736</v>
      </c>
      <c r="B17" s="16" t="s">
        <v>739</v>
      </c>
      <c r="C17" s="32" t="s">
        <v>279</v>
      </c>
      <c r="D17" s="30" t="s">
        <v>134</v>
      </c>
    </row>
    <row r="18" customFormat="false" ht="23.25" hidden="false" customHeight="true" outlineLevel="0" collapsed="false">
      <c r="A18" s="30" t="s">
        <v>740</v>
      </c>
      <c r="B18" s="16" t="s">
        <v>741</v>
      </c>
      <c r="C18" s="31" t="s">
        <v>262</v>
      </c>
      <c r="D18" s="30" t="s">
        <v>142</v>
      </c>
    </row>
    <row r="19" customFormat="false" ht="23.25" hidden="false" customHeight="true" outlineLevel="0" collapsed="false">
      <c r="A19" s="30" t="s">
        <v>740</v>
      </c>
      <c r="B19" s="16" t="s">
        <v>742</v>
      </c>
      <c r="C19" s="31" t="s">
        <v>262</v>
      </c>
      <c r="D19" s="30" t="s">
        <v>142</v>
      </c>
    </row>
    <row r="20" customFormat="false" ht="23.25" hidden="false" customHeight="true" outlineLevel="0" collapsed="false">
      <c r="A20" s="30" t="s">
        <v>740</v>
      </c>
      <c r="B20" s="16" t="s">
        <v>743</v>
      </c>
      <c r="C20" s="32" t="s">
        <v>279</v>
      </c>
      <c r="D20" s="30" t="s">
        <v>297</v>
      </c>
    </row>
    <row r="21" customFormat="false" ht="23.25" hidden="false" customHeight="true" outlineLevel="0" collapsed="false">
      <c r="A21" s="30" t="s">
        <v>740</v>
      </c>
      <c r="B21" s="16" t="s">
        <v>744</v>
      </c>
      <c r="C21" s="32" t="s">
        <v>279</v>
      </c>
      <c r="D21" s="30" t="s">
        <v>134</v>
      </c>
    </row>
    <row r="22" customFormat="false" ht="23.25" hidden="false" customHeight="true" outlineLevel="0" collapsed="false">
      <c r="A22" s="30" t="s">
        <v>745</v>
      </c>
      <c r="B22" s="16" t="s">
        <v>746</v>
      </c>
      <c r="C22" s="31" t="s">
        <v>262</v>
      </c>
      <c r="D22" s="30" t="s">
        <v>142</v>
      </c>
    </row>
    <row r="23" customFormat="false" ht="23.25" hidden="false" customHeight="true" outlineLevel="0" collapsed="false">
      <c r="A23" s="30" t="s">
        <v>745</v>
      </c>
      <c r="B23" s="16" t="s">
        <v>747</v>
      </c>
      <c r="C23" s="31" t="s">
        <v>262</v>
      </c>
      <c r="D23" s="30" t="s">
        <v>142</v>
      </c>
    </row>
    <row r="24" customFormat="false" ht="23.25" hidden="false" customHeight="true" outlineLevel="0" collapsed="false">
      <c r="A24" s="30" t="s">
        <v>748</v>
      </c>
      <c r="B24" s="16" t="s">
        <v>749</v>
      </c>
      <c r="C24" s="32" t="s">
        <v>279</v>
      </c>
      <c r="D24" s="30" t="s">
        <v>134</v>
      </c>
    </row>
    <row r="25" customFormat="false" ht="23.25" hidden="false" customHeight="true" outlineLevel="0" collapsed="false">
      <c r="A25" s="30" t="s">
        <v>748</v>
      </c>
      <c r="B25" s="16" t="s">
        <v>750</v>
      </c>
      <c r="C25" s="31" t="s">
        <v>262</v>
      </c>
      <c r="D25" s="30" t="s">
        <v>142</v>
      </c>
    </row>
    <row r="26" customFormat="false" ht="23.25" hidden="false" customHeight="true" outlineLevel="0" collapsed="false">
      <c r="A26" s="30" t="s">
        <v>748</v>
      </c>
      <c r="B26" s="16" t="s">
        <v>751</v>
      </c>
      <c r="C26" s="32" t="s">
        <v>279</v>
      </c>
      <c r="D26" s="30" t="s">
        <v>134</v>
      </c>
    </row>
    <row r="27" customFormat="false" ht="23.25" hidden="false" customHeight="true" outlineLevel="0" collapsed="false">
      <c r="A27" s="30" t="s">
        <v>752</v>
      </c>
      <c r="B27" s="16" t="s">
        <v>753</v>
      </c>
      <c r="C27" s="32" t="s">
        <v>279</v>
      </c>
      <c r="D27" s="30" t="s">
        <v>297</v>
      </c>
    </row>
    <row r="28" customFormat="false" ht="23.25" hidden="false" customHeight="true" outlineLevel="0" collapsed="false">
      <c r="A28" s="30" t="s">
        <v>752</v>
      </c>
      <c r="B28" s="16" t="s">
        <v>754</v>
      </c>
      <c r="C28" s="32" t="s">
        <v>279</v>
      </c>
      <c r="D28" s="30" t="s">
        <v>142</v>
      </c>
    </row>
    <row r="29" customFormat="false" ht="23.25" hidden="false" customHeight="true" outlineLevel="0" collapsed="false">
      <c r="A29" s="30" t="s">
        <v>752</v>
      </c>
      <c r="B29" s="16" t="s">
        <v>755</v>
      </c>
      <c r="C29" s="33" t="s">
        <v>299</v>
      </c>
      <c r="D29" s="30" t="s">
        <v>134</v>
      </c>
    </row>
    <row r="30" customFormat="false" ht="23.25" hidden="false" customHeight="true" outlineLevel="0" collapsed="false">
      <c r="A30" s="30" t="s">
        <v>756</v>
      </c>
      <c r="B30" s="16" t="s">
        <v>757</v>
      </c>
      <c r="C30" s="31" t="s">
        <v>262</v>
      </c>
      <c r="D30" s="30" t="s">
        <v>142</v>
      </c>
    </row>
    <row r="31" customFormat="false" ht="15" hidden="false" customHeight="true" outlineLevel="0" collapsed="false">
      <c r="A31" s="30" t="s">
        <v>756</v>
      </c>
      <c r="B31" s="16" t="s">
        <v>758</v>
      </c>
      <c r="C31" s="31" t="s">
        <v>262</v>
      </c>
      <c r="D31" s="30" t="s">
        <v>142</v>
      </c>
    </row>
    <row r="32" customFormat="false" ht="23.25" hidden="false" customHeight="true" outlineLevel="0" collapsed="false">
      <c r="A32" s="30" t="s">
        <v>756</v>
      </c>
      <c r="B32" s="16" t="s">
        <v>759</v>
      </c>
      <c r="C32" s="31" t="s">
        <v>262</v>
      </c>
      <c r="D32" s="30" t="s">
        <v>142</v>
      </c>
    </row>
    <row r="33" customFormat="false" ht="23.25" hidden="false" customHeight="true" outlineLevel="0" collapsed="false">
      <c r="A33" s="30" t="s">
        <v>756</v>
      </c>
      <c r="B33" s="16" t="s">
        <v>760</v>
      </c>
      <c r="C33" s="31" t="s">
        <v>262</v>
      </c>
      <c r="D33" s="30" t="s">
        <v>142</v>
      </c>
    </row>
    <row r="34" customFormat="false" ht="23.25" hidden="false" customHeight="true" outlineLevel="0" collapsed="false">
      <c r="A34" s="30" t="s">
        <v>761</v>
      </c>
      <c r="B34" s="16" t="s">
        <v>762</v>
      </c>
      <c r="C34" s="31" t="s">
        <v>262</v>
      </c>
      <c r="D34" s="30" t="s">
        <v>142</v>
      </c>
    </row>
    <row r="35" customFormat="false" ht="23.25" hidden="false" customHeight="true" outlineLevel="0" collapsed="false">
      <c r="A35" s="30" t="s">
        <v>761</v>
      </c>
      <c r="B35" s="16" t="s">
        <v>763</v>
      </c>
      <c r="C35" s="32" t="s">
        <v>279</v>
      </c>
      <c r="D35" s="30" t="s">
        <v>134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45"/>
    <col collapsed="false" customWidth="true" hidden="false" outlineLevel="0" max="4" min="4" style="0" width="18"/>
  </cols>
  <sheetData>
    <row r="1" customFormat="false" ht="17.35" hidden="false" customHeight="false" outlineLevel="0" collapsed="false">
      <c r="A1" s="45" t="s">
        <v>764</v>
      </c>
      <c r="B1" s="45"/>
      <c r="C1" s="45"/>
      <c r="D1" s="45"/>
    </row>
    <row r="2" customFormat="false" ht="15" hidden="false" customHeight="false" outlineLevel="0" collapsed="false">
      <c r="A2" s="46" t="s">
        <v>765</v>
      </c>
      <c r="B2" s="46"/>
      <c r="C2" s="46"/>
      <c r="D2" s="46"/>
    </row>
    <row r="4" customFormat="false" ht="15" hidden="false" customHeight="false" outlineLevel="0" collapsed="false">
      <c r="A4" s="7" t="s">
        <v>766</v>
      </c>
      <c r="B4" s="7"/>
      <c r="C4" s="7"/>
      <c r="D4" s="7"/>
    </row>
    <row r="5" customFormat="false" ht="15" hidden="false" customHeight="false" outlineLevel="0" collapsed="false">
      <c r="A5" s="12" t="s">
        <v>767</v>
      </c>
      <c r="B5" s="12" t="s">
        <v>768</v>
      </c>
      <c r="C5" s="12" t="s">
        <v>769</v>
      </c>
      <c r="D5" s="12" t="s">
        <v>770</v>
      </c>
    </row>
    <row r="6" customFormat="false" ht="46.25" hidden="false" customHeight="false" outlineLevel="0" collapsed="false">
      <c r="A6" s="16" t="s">
        <v>771</v>
      </c>
      <c r="B6" s="16" t="s">
        <v>772</v>
      </c>
      <c r="C6" s="16" t="s">
        <v>773</v>
      </c>
      <c r="D6" s="38" t="s">
        <v>774</v>
      </c>
    </row>
    <row r="7" customFormat="false" ht="35.05" hidden="false" customHeight="false" outlineLevel="0" collapsed="false">
      <c r="A7" s="16" t="s">
        <v>775</v>
      </c>
      <c r="B7" s="16" t="s">
        <v>776</v>
      </c>
      <c r="C7" s="16" t="s">
        <v>777</v>
      </c>
      <c r="D7" s="38" t="s">
        <v>778</v>
      </c>
    </row>
    <row r="8" customFormat="false" ht="57.45" hidden="false" customHeight="false" outlineLevel="0" collapsed="false">
      <c r="A8" s="16" t="s">
        <v>779</v>
      </c>
      <c r="B8" s="16" t="s">
        <v>780</v>
      </c>
      <c r="C8" s="16" t="s">
        <v>781</v>
      </c>
      <c r="D8" s="38" t="s">
        <v>782</v>
      </c>
    </row>
    <row r="9" customFormat="false" ht="57.45" hidden="false" customHeight="false" outlineLevel="0" collapsed="false">
      <c r="A9" s="16" t="s">
        <v>783</v>
      </c>
      <c r="B9" s="16" t="s">
        <v>784</v>
      </c>
      <c r="C9" s="16" t="s">
        <v>785</v>
      </c>
      <c r="D9" s="38" t="s">
        <v>786</v>
      </c>
    </row>
    <row r="10" customFormat="false" ht="46.25" hidden="false" customHeight="false" outlineLevel="0" collapsed="false">
      <c r="A10" s="16" t="s">
        <v>787</v>
      </c>
      <c r="B10" s="16" t="s">
        <v>788</v>
      </c>
      <c r="C10" s="16" t="s">
        <v>789</v>
      </c>
      <c r="D10" s="38" t="s">
        <v>790</v>
      </c>
    </row>
    <row r="11" customFormat="false" ht="35.05" hidden="false" customHeight="false" outlineLevel="0" collapsed="false">
      <c r="A11" s="16" t="s">
        <v>791</v>
      </c>
      <c r="B11" s="16" t="s">
        <v>792</v>
      </c>
      <c r="C11" s="16" t="s">
        <v>793</v>
      </c>
      <c r="D11" s="38" t="s">
        <v>794</v>
      </c>
    </row>
    <row r="12" customFormat="false" ht="35.05" hidden="false" customHeight="false" outlineLevel="0" collapsed="false">
      <c r="A12" s="16" t="s">
        <v>795</v>
      </c>
      <c r="B12" s="16" t="s">
        <v>796</v>
      </c>
      <c r="C12" s="16" t="s">
        <v>797</v>
      </c>
      <c r="D12" s="38" t="s">
        <v>798</v>
      </c>
    </row>
    <row r="13" customFormat="false" ht="35.05" hidden="false" customHeight="false" outlineLevel="0" collapsed="false">
      <c r="A13" s="16" t="s">
        <v>799</v>
      </c>
      <c r="B13" s="16" t="s">
        <v>800</v>
      </c>
      <c r="C13" s="16" t="s">
        <v>801</v>
      </c>
      <c r="D13" s="38" t="s">
        <v>802</v>
      </c>
    </row>
    <row r="15" customFormat="false" ht="15" hidden="false" customHeight="false" outlineLevel="0" collapsed="false">
      <c r="A15" s="47" t="s">
        <v>803</v>
      </c>
      <c r="B15" s="47"/>
      <c r="C15" s="47"/>
      <c r="D15" s="47"/>
    </row>
    <row r="16" customFormat="false" ht="15" hidden="false" customHeight="false" outlineLevel="0" collapsed="false">
      <c r="A16" s="12" t="s">
        <v>804</v>
      </c>
      <c r="B16" s="12" t="s">
        <v>805</v>
      </c>
      <c r="C16" s="12" t="s">
        <v>806</v>
      </c>
      <c r="D16" s="12" t="s">
        <v>807</v>
      </c>
    </row>
    <row r="17" customFormat="false" ht="15" hidden="false" customHeight="false" outlineLevel="0" collapsed="false">
      <c r="A17" s="16" t="s">
        <v>808</v>
      </c>
      <c r="B17" s="30" t="s">
        <v>809</v>
      </c>
      <c r="C17" s="30" t="s">
        <v>810</v>
      </c>
      <c r="D17" s="48" t="s">
        <v>811</v>
      </c>
    </row>
    <row r="18" customFormat="false" ht="15" hidden="false" customHeight="false" outlineLevel="0" collapsed="false">
      <c r="A18" s="16" t="s">
        <v>812</v>
      </c>
      <c r="B18" s="30" t="s">
        <v>813</v>
      </c>
      <c r="C18" s="30" t="s">
        <v>814</v>
      </c>
      <c r="D18" s="48" t="s">
        <v>815</v>
      </c>
    </row>
    <row r="19" customFormat="false" ht="15" hidden="false" customHeight="false" outlineLevel="0" collapsed="false">
      <c r="A19" s="16" t="s">
        <v>816</v>
      </c>
      <c r="B19" s="30" t="s">
        <v>817</v>
      </c>
      <c r="C19" s="30" t="s">
        <v>818</v>
      </c>
      <c r="D19" s="48" t="s">
        <v>819</v>
      </c>
    </row>
    <row r="20" customFormat="false" ht="23.85" hidden="false" customHeight="false" outlineLevel="0" collapsed="false">
      <c r="A20" s="16" t="s">
        <v>820</v>
      </c>
      <c r="B20" s="30" t="s">
        <v>821</v>
      </c>
      <c r="C20" s="30" t="s">
        <v>822</v>
      </c>
      <c r="D20" s="48" t="s">
        <v>823</v>
      </c>
    </row>
    <row r="21" customFormat="false" ht="23.85" hidden="false" customHeight="false" outlineLevel="0" collapsed="false">
      <c r="A21" s="16" t="s">
        <v>824</v>
      </c>
      <c r="B21" s="30" t="s">
        <v>821</v>
      </c>
      <c r="C21" s="30" t="s">
        <v>825</v>
      </c>
      <c r="D21" s="48" t="s">
        <v>811</v>
      </c>
    </row>
    <row r="22" customFormat="false" ht="23.85" hidden="false" customHeight="false" outlineLevel="0" collapsed="false">
      <c r="A22" s="16" t="s">
        <v>826</v>
      </c>
      <c r="B22" s="30" t="s">
        <v>821</v>
      </c>
      <c r="C22" s="30" t="s">
        <v>827</v>
      </c>
      <c r="D22" s="48" t="s">
        <v>828</v>
      </c>
    </row>
    <row r="23" customFormat="false" ht="15" hidden="false" customHeight="false" outlineLevel="0" collapsed="false">
      <c r="A23" s="16" t="s">
        <v>829</v>
      </c>
      <c r="B23" s="30" t="s">
        <v>821</v>
      </c>
      <c r="C23" s="30" t="s">
        <v>830</v>
      </c>
      <c r="D23" s="48" t="s">
        <v>831</v>
      </c>
    </row>
    <row r="24" customFormat="false" ht="23.85" hidden="false" customHeight="false" outlineLevel="0" collapsed="false">
      <c r="A24" s="16" t="s">
        <v>832</v>
      </c>
      <c r="B24" s="30" t="s">
        <v>821</v>
      </c>
      <c r="C24" s="30" t="s">
        <v>833</v>
      </c>
      <c r="D24" s="48" t="s">
        <v>834</v>
      </c>
    </row>
    <row r="25" customFormat="false" ht="15" hidden="false" customHeight="false" outlineLevel="0" collapsed="false">
      <c r="A25" s="16" t="s">
        <v>835</v>
      </c>
      <c r="B25" s="30" t="s">
        <v>836</v>
      </c>
      <c r="C25" s="30" t="s">
        <v>837</v>
      </c>
      <c r="D25" s="48" t="s">
        <v>838</v>
      </c>
    </row>
  </sheetData>
  <mergeCells count="4">
    <mergeCell ref="A1:D1"/>
    <mergeCell ref="A2:D2"/>
    <mergeCell ref="A4:D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3" min="2" style="0" width="18"/>
    <col collapsed="false" customWidth="true" hidden="false" outlineLevel="0" max="5" min="4" style="0" width="10"/>
    <col collapsed="false" customWidth="true" hidden="false" outlineLevel="0" max="6" min="6" style="0" width="12"/>
    <col collapsed="false" customWidth="true" hidden="false" outlineLevel="0" max="7" min="7" style="0" width="40"/>
    <col collapsed="false" customWidth="true" hidden="false" outlineLevel="0" max="8" min="8" style="0" width="28"/>
    <col collapsed="false" customWidth="true" hidden="false" outlineLevel="0" max="9" min="9" style="0" width="14"/>
  </cols>
  <sheetData>
    <row r="1" customFormat="false" ht="17.35" hidden="false" customHeight="false" outlineLevel="0" collapsed="false">
      <c r="A1" s="45" t="s">
        <v>839</v>
      </c>
      <c r="B1" s="45"/>
      <c r="C1" s="45"/>
      <c r="D1" s="45"/>
      <c r="E1" s="45"/>
      <c r="F1" s="45"/>
      <c r="G1" s="45"/>
      <c r="H1" s="45"/>
      <c r="I1" s="45"/>
    </row>
    <row r="2" customFormat="false" ht="15" hidden="false" customHeight="false" outlineLevel="0" collapsed="false">
      <c r="A2" s="46" t="s">
        <v>840</v>
      </c>
      <c r="B2" s="46"/>
      <c r="C2" s="46"/>
      <c r="D2" s="46"/>
      <c r="E2" s="46"/>
      <c r="F2" s="46"/>
      <c r="G2" s="46"/>
      <c r="H2" s="46"/>
      <c r="I2" s="46"/>
    </row>
    <row r="4" customFormat="false" ht="26.85" hidden="false" customHeight="false" outlineLevel="0" collapsed="false">
      <c r="A4" s="12" t="s">
        <v>841</v>
      </c>
      <c r="B4" s="12" t="s">
        <v>842</v>
      </c>
      <c r="C4" s="12" t="s">
        <v>843</v>
      </c>
      <c r="D4" s="12" t="s">
        <v>844</v>
      </c>
      <c r="E4" s="12" t="s">
        <v>845</v>
      </c>
      <c r="F4" s="12" t="s">
        <v>846</v>
      </c>
      <c r="G4" s="12" t="s">
        <v>847</v>
      </c>
      <c r="H4" s="12" t="s">
        <v>848</v>
      </c>
      <c r="I4" s="12" t="s">
        <v>256</v>
      </c>
    </row>
    <row r="5" customFormat="false" ht="35.05" hidden="false" customHeight="false" outlineLevel="0" collapsed="false">
      <c r="A5" s="16" t="s">
        <v>849</v>
      </c>
      <c r="B5" s="16" t="s">
        <v>850</v>
      </c>
      <c r="C5" s="30" t="s">
        <v>147</v>
      </c>
      <c r="D5" s="30" t="s">
        <v>851</v>
      </c>
      <c r="E5" s="48" t="s">
        <v>297</v>
      </c>
      <c r="F5" s="30" t="s">
        <v>852</v>
      </c>
      <c r="G5" s="16" t="s">
        <v>853</v>
      </c>
      <c r="H5" s="16" t="s">
        <v>854</v>
      </c>
      <c r="I5" s="31" t="s">
        <v>262</v>
      </c>
    </row>
    <row r="6" customFormat="false" ht="35.05" hidden="false" customHeight="false" outlineLevel="0" collapsed="false">
      <c r="A6" s="16" t="s">
        <v>855</v>
      </c>
      <c r="B6" s="16" t="s">
        <v>850</v>
      </c>
      <c r="C6" s="30" t="s">
        <v>147</v>
      </c>
      <c r="D6" s="30" t="s">
        <v>856</v>
      </c>
      <c r="E6" s="48" t="s">
        <v>297</v>
      </c>
      <c r="F6" s="30" t="s">
        <v>852</v>
      </c>
      <c r="G6" s="16" t="s">
        <v>857</v>
      </c>
      <c r="H6" s="16" t="s">
        <v>858</v>
      </c>
      <c r="I6" s="31" t="s">
        <v>262</v>
      </c>
    </row>
    <row r="7" customFormat="false" ht="23.85" hidden="false" customHeight="false" outlineLevel="0" collapsed="false">
      <c r="A7" s="16" t="s">
        <v>859</v>
      </c>
      <c r="B7" s="16" t="s">
        <v>860</v>
      </c>
      <c r="C7" s="30" t="s">
        <v>861</v>
      </c>
      <c r="D7" s="30" t="s">
        <v>862</v>
      </c>
      <c r="E7" s="48" t="s">
        <v>297</v>
      </c>
      <c r="F7" s="30" t="s">
        <v>863</v>
      </c>
      <c r="G7" s="16" t="s">
        <v>864</v>
      </c>
      <c r="H7" s="16" t="s">
        <v>865</v>
      </c>
      <c r="I7" s="31" t="s">
        <v>262</v>
      </c>
    </row>
    <row r="8" customFormat="false" ht="23.85" hidden="false" customHeight="false" outlineLevel="0" collapsed="false">
      <c r="A8" s="16" t="s">
        <v>866</v>
      </c>
      <c r="B8" s="16" t="s">
        <v>860</v>
      </c>
      <c r="C8" s="30" t="s">
        <v>867</v>
      </c>
      <c r="D8" s="30" t="s">
        <v>437</v>
      </c>
      <c r="E8" s="48" t="s">
        <v>297</v>
      </c>
      <c r="F8" s="30" t="s">
        <v>863</v>
      </c>
      <c r="G8" s="16" t="s">
        <v>868</v>
      </c>
      <c r="H8" s="16" t="s">
        <v>869</v>
      </c>
      <c r="I8" s="32" t="s">
        <v>279</v>
      </c>
    </row>
    <row r="9" customFormat="false" ht="23.85" hidden="false" customHeight="false" outlineLevel="0" collapsed="false">
      <c r="A9" s="16" t="s">
        <v>870</v>
      </c>
      <c r="B9" s="16" t="s">
        <v>860</v>
      </c>
      <c r="C9" s="30" t="s">
        <v>147</v>
      </c>
      <c r="D9" s="30" t="s">
        <v>871</v>
      </c>
      <c r="E9" s="48" t="s">
        <v>297</v>
      </c>
      <c r="F9" s="30" t="s">
        <v>872</v>
      </c>
      <c r="G9" s="16" t="s">
        <v>873</v>
      </c>
      <c r="H9" s="16" t="s">
        <v>874</v>
      </c>
      <c r="I9" s="32" t="s">
        <v>279</v>
      </c>
    </row>
    <row r="10" customFormat="false" ht="23.85" hidden="false" customHeight="false" outlineLevel="0" collapsed="false">
      <c r="A10" s="16" t="s">
        <v>875</v>
      </c>
      <c r="B10" s="16" t="s">
        <v>876</v>
      </c>
      <c r="C10" s="30" t="s">
        <v>147</v>
      </c>
      <c r="D10" s="30" t="s">
        <v>877</v>
      </c>
      <c r="E10" s="48" t="s">
        <v>297</v>
      </c>
      <c r="F10" s="30" t="s">
        <v>878</v>
      </c>
      <c r="G10" s="16" t="s">
        <v>879</v>
      </c>
      <c r="H10" s="16" t="s">
        <v>880</v>
      </c>
      <c r="I10" s="31" t="s">
        <v>262</v>
      </c>
    </row>
    <row r="11" customFormat="false" ht="23.85" hidden="false" customHeight="false" outlineLevel="0" collapsed="false">
      <c r="A11" s="16" t="s">
        <v>881</v>
      </c>
      <c r="B11" s="16" t="s">
        <v>876</v>
      </c>
      <c r="C11" s="30" t="s">
        <v>882</v>
      </c>
      <c r="D11" s="30" t="s">
        <v>883</v>
      </c>
      <c r="E11" s="48" t="s">
        <v>297</v>
      </c>
      <c r="F11" s="30" t="s">
        <v>852</v>
      </c>
      <c r="G11" s="16" t="s">
        <v>884</v>
      </c>
      <c r="H11" s="16" t="s">
        <v>869</v>
      </c>
      <c r="I11" s="32" t="s">
        <v>279</v>
      </c>
    </row>
    <row r="12" customFormat="false" ht="23.85" hidden="false" customHeight="false" outlineLevel="0" collapsed="false">
      <c r="A12" s="16" t="s">
        <v>885</v>
      </c>
      <c r="B12" s="16" t="s">
        <v>876</v>
      </c>
      <c r="C12" s="30" t="s">
        <v>147</v>
      </c>
      <c r="D12" s="30" t="s">
        <v>862</v>
      </c>
      <c r="E12" s="21" t="s">
        <v>134</v>
      </c>
      <c r="F12" s="30" t="s">
        <v>852</v>
      </c>
      <c r="G12" s="16" t="s">
        <v>886</v>
      </c>
      <c r="H12" s="16" t="s">
        <v>887</v>
      </c>
      <c r="I12" s="32" t="s">
        <v>279</v>
      </c>
    </row>
    <row r="13" customFormat="false" ht="23.85" hidden="false" customHeight="false" outlineLevel="0" collapsed="false">
      <c r="A13" s="16" t="s">
        <v>888</v>
      </c>
      <c r="B13" s="16" t="s">
        <v>889</v>
      </c>
      <c r="C13" s="30" t="s">
        <v>147</v>
      </c>
      <c r="D13" s="30" t="s">
        <v>890</v>
      </c>
      <c r="E13" s="48" t="s">
        <v>297</v>
      </c>
      <c r="F13" s="30" t="s">
        <v>852</v>
      </c>
      <c r="G13" s="16" t="s">
        <v>891</v>
      </c>
      <c r="H13" s="16" t="s">
        <v>892</v>
      </c>
      <c r="I13" s="31" t="s">
        <v>262</v>
      </c>
    </row>
    <row r="14" customFormat="false" ht="23.85" hidden="false" customHeight="false" outlineLevel="0" collapsed="false">
      <c r="A14" s="16" t="s">
        <v>893</v>
      </c>
      <c r="B14" s="16" t="s">
        <v>889</v>
      </c>
      <c r="C14" s="30" t="s">
        <v>147</v>
      </c>
      <c r="D14" s="30" t="s">
        <v>894</v>
      </c>
      <c r="E14" s="48" t="s">
        <v>297</v>
      </c>
      <c r="F14" s="30" t="s">
        <v>852</v>
      </c>
      <c r="G14" s="16" t="s">
        <v>895</v>
      </c>
      <c r="H14" s="16" t="s">
        <v>887</v>
      </c>
      <c r="I14" s="31" t="s">
        <v>262</v>
      </c>
    </row>
    <row r="15" customFormat="false" ht="23.85" hidden="false" customHeight="false" outlineLevel="0" collapsed="false">
      <c r="A15" s="16" t="s">
        <v>896</v>
      </c>
      <c r="B15" s="16" t="s">
        <v>889</v>
      </c>
      <c r="C15" s="30" t="s">
        <v>147</v>
      </c>
      <c r="D15" s="30" t="s">
        <v>856</v>
      </c>
      <c r="E15" s="48" t="s">
        <v>297</v>
      </c>
      <c r="F15" s="30" t="s">
        <v>863</v>
      </c>
      <c r="G15" s="16" t="s">
        <v>897</v>
      </c>
      <c r="H15" s="16" t="s">
        <v>869</v>
      </c>
      <c r="I15" s="32" t="s">
        <v>279</v>
      </c>
    </row>
    <row r="16" customFormat="false" ht="23.85" hidden="false" customHeight="false" outlineLevel="0" collapsed="false">
      <c r="A16" s="16" t="s">
        <v>898</v>
      </c>
      <c r="B16" s="16" t="s">
        <v>899</v>
      </c>
      <c r="C16" s="30" t="s">
        <v>147</v>
      </c>
      <c r="D16" s="30" t="s">
        <v>900</v>
      </c>
      <c r="E16" s="21" t="s">
        <v>134</v>
      </c>
      <c r="F16" s="30" t="s">
        <v>863</v>
      </c>
      <c r="G16" s="16" t="s">
        <v>901</v>
      </c>
      <c r="H16" s="16" t="s">
        <v>902</v>
      </c>
      <c r="I16" s="32" t="s">
        <v>279</v>
      </c>
    </row>
    <row r="17" customFormat="false" ht="15" hidden="false" customHeight="false" outlineLevel="0" collapsed="false">
      <c r="A17" s="16" t="s">
        <v>903</v>
      </c>
      <c r="B17" s="16" t="s">
        <v>899</v>
      </c>
      <c r="C17" s="30" t="s">
        <v>147</v>
      </c>
      <c r="D17" s="30" t="s">
        <v>904</v>
      </c>
      <c r="E17" s="20" t="s">
        <v>142</v>
      </c>
      <c r="F17" s="30" t="s">
        <v>905</v>
      </c>
      <c r="G17" s="16" t="s">
        <v>906</v>
      </c>
      <c r="H17" s="16" t="s">
        <v>907</v>
      </c>
      <c r="I17" s="33" t="s">
        <v>299</v>
      </c>
    </row>
    <row r="18" customFormat="false" ht="23.85" hidden="false" customHeight="false" outlineLevel="0" collapsed="false">
      <c r="A18" s="16" t="s">
        <v>908</v>
      </c>
      <c r="B18" s="16" t="s">
        <v>909</v>
      </c>
      <c r="C18" s="30" t="s">
        <v>147</v>
      </c>
      <c r="D18" s="30" t="s">
        <v>910</v>
      </c>
      <c r="E18" s="48" t="s">
        <v>297</v>
      </c>
      <c r="F18" s="30" t="s">
        <v>852</v>
      </c>
      <c r="G18" s="16" t="s">
        <v>911</v>
      </c>
      <c r="H18" s="16" t="s">
        <v>912</v>
      </c>
      <c r="I18" s="31" t="s">
        <v>262</v>
      </c>
    </row>
    <row r="19" customFormat="false" ht="23.85" hidden="false" customHeight="false" outlineLevel="0" collapsed="false">
      <c r="A19" s="16" t="s">
        <v>913</v>
      </c>
      <c r="B19" s="16" t="s">
        <v>909</v>
      </c>
      <c r="C19" s="30" t="s">
        <v>147</v>
      </c>
      <c r="D19" s="30" t="s">
        <v>914</v>
      </c>
      <c r="E19" s="48" t="s">
        <v>297</v>
      </c>
      <c r="F19" s="30" t="s">
        <v>852</v>
      </c>
      <c r="G19" s="16" t="s">
        <v>915</v>
      </c>
      <c r="H19" s="16" t="s">
        <v>916</v>
      </c>
      <c r="I19" s="31" t="s">
        <v>262</v>
      </c>
    </row>
    <row r="20" customFormat="false" ht="23.85" hidden="false" customHeight="false" outlineLevel="0" collapsed="false">
      <c r="A20" s="16" t="s">
        <v>917</v>
      </c>
      <c r="B20" s="16" t="s">
        <v>909</v>
      </c>
      <c r="C20" s="30" t="s">
        <v>147</v>
      </c>
      <c r="D20" s="30" t="s">
        <v>918</v>
      </c>
      <c r="E20" s="48" t="s">
        <v>297</v>
      </c>
      <c r="F20" s="30" t="s">
        <v>852</v>
      </c>
      <c r="G20" s="16" t="s">
        <v>919</v>
      </c>
      <c r="H20" s="16" t="s">
        <v>920</v>
      </c>
      <c r="I20" s="31" t="s">
        <v>262</v>
      </c>
    </row>
    <row r="21" customFormat="false" ht="23.85" hidden="false" customHeight="false" outlineLevel="0" collapsed="false">
      <c r="A21" s="16" t="s">
        <v>921</v>
      </c>
      <c r="B21" s="16" t="s">
        <v>909</v>
      </c>
      <c r="C21" s="30" t="s">
        <v>147</v>
      </c>
      <c r="D21" s="30" t="s">
        <v>922</v>
      </c>
      <c r="E21" s="21" t="s">
        <v>134</v>
      </c>
      <c r="F21" s="30" t="s">
        <v>863</v>
      </c>
      <c r="G21" s="16" t="s">
        <v>923</v>
      </c>
      <c r="H21" s="16" t="s">
        <v>869</v>
      </c>
      <c r="I21" s="32" t="s">
        <v>279</v>
      </c>
    </row>
    <row r="22" customFormat="false" ht="23.85" hidden="false" customHeight="false" outlineLevel="0" collapsed="false">
      <c r="A22" s="16" t="s">
        <v>924</v>
      </c>
      <c r="B22" s="16" t="s">
        <v>925</v>
      </c>
      <c r="C22" s="30" t="s">
        <v>147</v>
      </c>
      <c r="D22" s="30" t="s">
        <v>926</v>
      </c>
      <c r="E22" s="48" t="s">
        <v>297</v>
      </c>
      <c r="F22" s="30" t="s">
        <v>852</v>
      </c>
      <c r="G22" s="16" t="s">
        <v>927</v>
      </c>
      <c r="H22" s="16" t="s">
        <v>928</v>
      </c>
      <c r="I22" s="31" t="s">
        <v>262</v>
      </c>
    </row>
    <row r="23" customFormat="false" ht="23.85" hidden="false" customHeight="false" outlineLevel="0" collapsed="false">
      <c r="A23" s="16" t="s">
        <v>929</v>
      </c>
      <c r="B23" s="16" t="s">
        <v>925</v>
      </c>
      <c r="C23" s="30" t="s">
        <v>147</v>
      </c>
      <c r="D23" s="30" t="s">
        <v>914</v>
      </c>
      <c r="E23" s="48" t="s">
        <v>297</v>
      </c>
      <c r="F23" s="30" t="s">
        <v>852</v>
      </c>
      <c r="G23" s="16" t="s">
        <v>930</v>
      </c>
      <c r="H23" s="16" t="s">
        <v>931</v>
      </c>
      <c r="I23" s="31" t="s">
        <v>262</v>
      </c>
    </row>
    <row r="24" customFormat="false" ht="23.85" hidden="false" customHeight="false" outlineLevel="0" collapsed="false">
      <c r="A24" s="16" t="s">
        <v>932</v>
      </c>
      <c r="B24" s="16" t="s">
        <v>925</v>
      </c>
      <c r="C24" s="30" t="s">
        <v>147</v>
      </c>
      <c r="D24" s="30" t="s">
        <v>918</v>
      </c>
      <c r="E24" s="48" t="s">
        <v>297</v>
      </c>
      <c r="F24" s="30" t="s">
        <v>863</v>
      </c>
      <c r="G24" s="16" t="s">
        <v>933</v>
      </c>
      <c r="H24" s="16" t="s">
        <v>887</v>
      </c>
      <c r="I24" s="32" t="s">
        <v>279</v>
      </c>
    </row>
    <row r="25" customFormat="false" ht="23.85" hidden="false" customHeight="false" outlineLevel="0" collapsed="false">
      <c r="A25" s="16" t="s">
        <v>934</v>
      </c>
      <c r="B25" s="16" t="s">
        <v>925</v>
      </c>
      <c r="C25" s="30" t="s">
        <v>147</v>
      </c>
      <c r="D25" s="30" t="s">
        <v>904</v>
      </c>
      <c r="E25" s="48" t="s">
        <v>297</v>
      </c>
      <c r="F25" s="30" t="s">
        <v>863</v>
      </c>
      <c r="G25" s="16" t="s">
        <v>935</v>
      </c>
      <c r="H25" s="16" t="s">
        <v>936</v>
      </c>
      <c r="I25" s="32" t="s">
        <v>279</v>
      </c>
    </row>
    <row r="26" customFormat="false" ht="23.85" hidden="false" customHeight="false" outlineLevel="0" collapsed="false">
      <c r="A26" s="16" t="s">
        <v>937</v>
      </c>
      <c r="B26" s="16" t="s">
        <v>938</v>
      </c>
      <c r="C26" s="30" t="s">
        <v>939</v>
      </c>
      <c r="D26" s="30" t="s">
        <v>940</v>
      </c>
      <c r="E26" s="21" t="s">
        <v>134</v>
      </c>
      <c r="F26" s="30" t="s">
        <v>863</v>
      </c>
      <c r="G26" s="16" t="s">
        <v>941</v>
      </c>
      <c r="H26" s="16" t="s">
        <v>942</v>
      </c>
      <c r="I26" s="33" t="s">
        <v>299</v>
      </c>
    </row>
    <row r="27" customFormat="false" ht="23.85" hidden="false" customHeight="false" outlineLevel="0" collapsed="false">
      <c r="A27" s="16" t="s">
        <v>943</v>
      </c>
      <c r="B27" s="16" t="s">
        <v>938</v>
      </c>
      <c r="C27" s="30" t="s">
        <v>944</v>
      </c>
      <c r="D27" s="30" t="s">
        <v>922</v>
      </c>
      <c r="E27" s="21" t="s">
        <v>134</v>
      </c>
      <c r="F27" s="30" t="s">
        <v>863</v>
      </c>
      <c r="G27" s="16" t="s">
        <v>945</v>
      </c>
      <c r="H27" s="16" t="s">
        <v>946</v>
      </c>
      <c r="I27" s="33" t="s">
        <v>299</v>
      </c>
    </row>
    <row r="28" customFormat="false" ht="23.85" hidden="false" customHeight="false" outlineLevel="0" collapsed="false">
      <c r="A28" s="16" t="s">
        <v>947</v>
      </c>
      <c r="B28" s="16" t="s">
        <v>850</v>
      </c>
      <c r="C28" s="30" t="s">
        <v>882</v>
      </c>
      <c r="D28" s="30" t="s">
        <v>948</v>
      </c>
      <c r="E28" s="48" t="s">
        <v>297</v>
      </c>
      <c r="F28" s="30" t="s">
        <v>863</v>
      </c>
      <c r="G28" s="16" t="s">
        <v>949</v>
      </c>
      <c r="H28" s="16" t="s">
        <v>950</v>
      </c>
      <c r="I28" s="31" t="s">
        <v>262</v>
      </c>
    </row>
    <row r="29" customFormat="false" ht="23.85" hidden="false" customHeight="false" outlineLevel="0" collapsed="false">
      <c r="A29" s="16" t="s">
        <v>951</v>
      </c>
      <c r="B29" s="16" t="s">
        <v>850</v>
      </c>
      <c r="C29" s="30" t="s">
        <v>952</v>
      </c>
      <c r="D29" s="30" t="s">
        <v>953</v>
      </c>
      <c r="E29" s="48" t="s">
        <v>297</v>
      </c>
      <c r="F29" s="30" t="s">
        <v>863</v>
      </c>
      <c r="G29" s="16" t="s">
        <v>954</v>
      </c>
      <c r="H29" s="16" t="s">
        <v>869</v>
      </c>
      <c r="I29" s="31" t="s">
        <v>262</v>
      </c>
    </row>
    <row r="30" customFormat="false" ht="15" hidden="false" customHeight="false" outlineLevel="0" collapsed="false">
      <c r="A30" s="16" t="s">
        <v>955</v>
      </c>
      <c r="B30" s="16" t="s">
        <v>850</v>
      </c>
      <c r="C30" s="30" t="s">
        <v>956</v>
      </c>
      <c r="D30" s="30" t="s">
        <v>957</v>
      </c>
      <c r="E30" s="21" t="s">
        <v>134</v>
      </c>
      <c r="F30" s="30" t="s">
        <v>905</v>
      </c>
      <c r="G30" s="16" t="s">
        <v>958</v>
      </c>
      <c r="H30" s="16" t="s">
        <v>869</v>
      </c>
      <c r="I30" s="32" t="s">
        <v>279</v>
      </c>
    </row>
    <row r="31" customFormat="false" ht="23.85" hidden="false" customHeight="false" outlineLevel="0" collapsed="false">
      <c r="A31" s="16" t="s">
        <v>959</v>
      </c>
      <c r="B31" s="16" t="s">
        <v>850</v>
      </c>
      <c r="C31" s="30" t="s">
        <v>960</v>
      </c>
      <c r="D31" s="30" t="s">
        <v>957</v>
      </c>
      <c r="E31" s="21" t="s">
        <v>134</v>
      </c>
      <c r="F31" s="30" t="s">
        <v>905</v>
      </c>
      <c r="G31" s="16" t="s">
        <v>961</v>
      </c>
      <c r="H31" s="16" t="s">
        <v>869</v>
      </c>
      <c r="I31" s="32" t="s">
        <v>279</v>
      </c>
    </row>
    <row r="32" customFormat="false" ht="15" hidden="false" customHeight="false" outlineLevel="0" collapsed="false">
      <c r="A32" s="16" t="s">
        <v>962</v>
      </c>
      <c r="B32" s="16" t="s">
        <v>850</v>
      </c>
      <c r="C32" s="30" t="s">
        <v>963</v>
      </c>
      <c r="D32" s="30" t="s">
        <v>964</v>
      </c>
      <c r="E32" s="20" t="s">
        <v>142</v>
      </c>
      <c r="F32" s="30" t="s">
        <v>905</v>
      </c>
      <c r="G32" s="16" t="s">
        <v>965</v>
      </c>
      <c r="H32" s="16" t="s">
        <v>966</v>
      </c>
      <c r="I32" s="33" t="s">
        <v>299</v>
      </c>
    </row>
    <row r="33" customFormat="false" ht="23.85" hidden="false" customHeight="false" outlineLevel="0" collapsed="false">
      <c r="A33" s="16" t="s">
        <v>967</v>
      </c>
      <c r="B33" s="16" t="s">
        <v>850</v>
      </c>
      <c r="C33" s="30" t="s">
        <v>968</v>
      </c>
      <c r="D33" s="30" t="s">
        <v>969</v>
      </c>
      <c r="E33" s="21" t="s">
        <v>134</v>
      </c>
      <c r="F33" s="30" t="s">
        <v>905</v>
      </c>
      <c r="G33" s="16" t="s">
        <v>970</v>
      </c>
      <c r="H33" s="16" t="s">
        <v>869</v>
      </c>
      <c r="I33" s="32" t="s">
        <v>279</v>
      </c>
    </row>
    <row r="34" customFormat="false" ht="23.85" hidden="false" customHeight="false" outlineLevel="0" collapsed="false">
      <c r="A34" s="16" t="s">
        <v>971</v>
      </c>
      <c r="B34" s="16" t="s">
        <v>972</v>
      </c>
      <c r="C34" s="30" t="s">
        <v>973</v>
      </c>
      <c r="D34" s="30" t="s">
        <v>974</v>
      </c>
      <c r="E34" s="21" t="s">
        <v>134</v>
      </c>
      <c r="F34" s="30" t="s">
        <v>905</v>
      </c>
      <c r="G34" s="16" t="s">
        <v>975</v>
      </c>
      <c r="H34" s="16" t="s">
        <v>869</v>
      </c>
      <c r="I34" s="32" t="s">
        <v>279</v>
      </c>
    </row>
    <row r="36" customFormat="false" ht="15" hidden="false" customHeight="false" outlineLevel="0" collapsed="false">
      <c r="A36" s="49" t="s">
        <v>976</v>
      </c>
      <c r="B36" s="50" t="n">
        <f aca="false">COUNTA(A5:A34)</f>
        <v>30</v>
      </c>
    </row>
    <row r="37" customFormat="false" ht="15" hidden="false" customHeight="false" outlineLevel="0" collapsed="false">
      <c r="A37" s="49" t="s">
        <v>977</v>
      </c>
      <c r="B37" s="50" t="s">
        <v>978</v>
      </c>
    </row>
    <row r="38" customFormat="false" ht="15" hidden="false" customHeight="false" outlineLevel="0" collapsed="false">
      <c r="A38" s="49" t="s">
        <v>979</v>
      </c>
      <c r="B38" s="50" t="n">
        <f aca="false">COUNTIF(I5:I34,"P0")</f>
        <v>13</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36"/>
    <col collapsed="false" customWidth="true" hidden="false" outlineLevel="0" max="4" min="4" style="0" width="28"/>
    <col collapsed="false" customWidth="true" hidden="false" outlineLevel="0" max="6" min="5" style="0" width="26"/>
    <col collapsed="false" customWidth="true" hidden="false" outlineLevel="0" max="7" min="7" style="0" width="34"/>
    <col collapsed="false" customWidth="true" hidden="false" outlineLevel="0" max="8" min="8" style="0" width="32"/>
  </cols>
  <sheetData>
    <row r="1" customFormat="false" ht="17.35" hidden="false" customHeight="false" outlineLevel="0" collapsed="false">
      <c r="A1" s="45" t="s">
        <v>980</v>
      </c>
      <c r="B1" s="45"/>
      <c r="C1" s="45"/>
      <c r="D1" s="45"/>
      <c r="E1" s="45"/>
      <c r="F1" s="45"/>
      <c r="G1" s="45"/>
      <c r="H1" s="45"/>
    </row>
    <row r="2" customFormat="false" ht="15" hidden="false" customHeight="false" outlineLevel="0" collapsed="false">
      <c r="A2" s="46" t="s">
        <v>981</v>
      </c>
      <c r="B2" s="46"/>
      <c r="C2" s="46"/>
      <c r="D2" s="46"/>
      <c r="E2" s="46"/>
      <c r="F2" s="46"/>
      <c r="G2" s="46"/>
      <c r="H2" s="46"/>
    </row>
    <row r="4" customFormat="false" ht="15" hidden="false" customHeight="false" outlineLevel="0" collapsed="false">
      <c r="A4" s="12" t="s">
        <v>360</v>
      </c>
      <c r="B4" s="12" t="s">
        <v>982</v>
      </c>
      <c r="C4" s="12" t="s">
        <v>983</v>
      </c>
      <c r="D4" s="12" t="s">
        <v>984</v>
      </c>
      <c r="E4" s="12" t="s">
        <v>985</v>
      </c>
      <c r="F4" s="12" t="s">
        <v>986</v>
      </c>
      <c r="G4" s="12" t="s">
        <v>987</v>
      </c>
      <c r="H4" s="12" t="s">
        <v>988</v>
      </c>
    </row>
    <row r="5" customFormat="false" ht="46.25" hidden="false" customHeight="false" outlineLevel="0" collapsed="false">
      <c r="A5" s="30" t="s">
        <v>371</v>
      </c>
      <c r="B5" s="16" t="s">
        <v>989</v>
      </c>
      <c r="C5" s="16" t="s">
        <v>990</v>
      </c>
      <c r="D5" s="16" t="s">
        <v>991</v>
      </c>
      <c r="E5" s="16" t="s">
        <v>992</v>
      </c>
      <c r="F5" s="16" t="s">
        <v>993</v>
      </c>
      <c r="G5" s="16" t="s">
        <v>994</v>
      </c>
      <c r="H5" s="16" t="s">
        <v>995</v>
      </c>
    </row>
    <row r="6" customFormat="false" ht="35.05" hidden="false" customHeight="false" outlineLevel="0" collapsed="false">
      <c r="A6" s="30" t="s">
        <v>388</v>
      </c>
      <c r="B6" s="16" t="s">
        <v>996</v>
      </c>
      <c r="C6" s="16" t="s">
        <v>997</v>
      </c>
      <c r="D6" s="16" t="s">
        <v>998</v>
      </c>
      <c r="E6" s="16" t="s">
        <v>999</v>
      </c>
      <c r="F6" s="16" t="s">
        <v>1000</v>
      </c>
      <c r="G6" s="16" t="s">
        <v>1001</v>
      </c>
      <c r="H6" s="16" t="s">
        <v>1002</v>
      </c>
    </row>
    <row r="7" customFormat="false" ht="35.05" hidden="false" customHeight="false" outlineLevel="0" collapsed="false">
      <c r="A7" s="30" t="s">
        <v>403</v>
      </c>
      <c r="B7" s="16" t="s">
        <v>1003</v>
      </c>
      <c r="C7" s="16" t="s">
        <v>1004</v>
      </c>
      <c r="D7" s="16" t="s">
        <v>1005</v>
      </c>
      <c r="E7" s="16" t="s">
        <v>1006</v>
      </c>
      <c r="F7" s="16" t="s">
        <v>1007</v>
      </c>
      <c r="G7" s="16" t="s">
        <v>1008</v>
      </c>
      <c r="H7" s="16" t="s">
        <v>1009</v>
      </c>
    </row>
    <row r="8" customFormat="false" ht="35.05" hidden="false" customHeight="false" outlineLevel="0" collapsed="false">
      <c r="A8" s="30" t="s">
        <v>418</v>
      </c>
      <c r="B8" s="16" t="s">
        <v>1010</v>
      </c>
      <c r="C8" s="16" t="s">
        <v>1011</v>
      </c>
      <c r="D8" s="16" t="s">
        <v>1012</v>
      </c>
      <c r="E8" s="16" t="s">
        <v>1013</v>
      </c>
      <c r="F8" s="16" t="s">
        <v>1014</v>
      </c>
      <c r="G8" s="16" t="s">
        <v>1015</v>
      </c>
      <c r="H8" s="16" t="s">
        <v>1016</v>
      </c>
    </row>
    <row r="9" customFormat="false" ht="35.05" hidden="false" customHeight="false" outlineLevel="0" collapsed="false">
      <c r="A9" s="30" t="s">
        <v>432</v>
      </c>
      <c r="B9" s="16" t="s">
        <v>1017</v>
      </c>
      <c r="C9" s="16" t="s">
        <v>1018</v>
      </c>
      <c r="D9" s="16" t="s">
        <v>1019</v>
      </c>
      <c r="E9" s="16" t="s">
        <v>1020</v>
      </c>
      <c r="F9" s="16" t="s">
        <v>1021</v>
      </c>
      <c r="G9" s="16" t="s">
        <v>1022</v>
      </c>
      <c r="H9" s="16" t="s">
        <v>1023</v>
      </c>
    </row>
    <row r="10" customFormat="false" ht="35.05" hidden="false" customHeight="false" outlineLevel="0" collapsed="false">
      <c r="A10" s="30" t="s">
        <v>446</v>
      </c>
      <c r="B10" s="16" t="s">
        <v>1024</v>
      </c>
      <c r="C10" s="16" t="s">
        <v>1025</v>
      </c>
      <c r="D10" s="16" t="s">
        <v>1026</v>
      </c>
      <c r="E10" s="16" t="s">
        <v>1027</v>
      </c>
      <c r="F10" s="16" t="s">
        <v>1028</v>
      </c>
      <c r="G10" s="16" t="s">
        <v>1029</v>
      </c>
      <c r="H10" s="16" t="s">
        <v>1030</v>
      </c>
    </row>
    <row r="11" customFormat="false" ht="35.05" hidden="false" customHeight="false" outlineLevel="0" collapsed="false">
      <c r="A11" s="30" t="s">
        <v>460</v>
      </c>
      <c r="B11" s="16" t="s">
        <v>1031</v>
      </c>
      <c r="C11" s="16" t="s">
        <v>1032</v>
      </c>
      <c r="D11" s="16" t="s">
        <v>1033</v>
      </c>
      <c r="E11" s="16" t="s">
        <v>1034</v>
      </c>
      <c r="F11" s="16" t="s">
        <v>1035</v>
      </c>
      <c r="G11" s="16" t="s">
        <v>1036</v>
      </c>
      <c r="H11" s="16" t="s">
        <v>1037</v>
      </c>
    </row>
    <row r="12" customFormat="false" ht="35.05" hidden="false" customHeight="false" outlineLevel="0" collapsed="false">
      <c r="A12" s="30" t="s">
        <v>473</v>
      </c>
      <c r="B12" s="16" t="s">
        <v>1038</v>
      </c>
      <c r="C12" s="16" t="s">
        <v>1039</v>
      </c>
      <c r="D12" s="16" t="s">
        <v>1040</v>
      </c>
      <c r="E12" s="16" t="s">
        <v>1041</v>
      </c>
      <c r="F12" s="16" t="s">
        <v>1042</v>
      </c>
      <c r="G12" s="16" t="s">
        <v>1043</v>
      </c>
      <c r="H12" s="16" t="s">
        <v>1044</v>
      </c>
    </row>
    <row r="13" customFormat="false" ht="23.85" hidden="false" customHeight="false" outlineLevel="0" collapsed="false">
      <c r="A13" s="30" t="s">
        <v>486</v>
      </c>
      <c r="B13" s="16" t="s">
        <v>1045</v>
      </c>
      <c r="C13" s="16" t="s">
        <v>1046</v>
      </c>
      <c r="D13" s="16" t="s">
        <v>1047</v>
      </c>
      <c r="E13" s="16" t="s">
        <v>1048</v>
      </c>
      <c r="F13" s="16" t="s">
        <v>1049</v>
      </c>
      <c r="G13" s="16" t="s">
        <v>1050</v>
      </c>
      <c r="H13" s="16" t="s">
        <v>1051</v>
      </c>
    </row>
    <row r="14" customFormat="false" ht="23.85" hidden="false" customHeight="false" outlineLevel="0" collapsed="false">
      <c r="A14" s="30" t="s">
        <v>499</v>
      </c>
      <c r="B14" s="16" t="s">
        <v>1052</v>
      </c>
      <c r="C14" s="16" t="s">
        <v>1053</v>
      </c>
      <c r="D14" s="16" t="s">
        <v>1054</v>
      </c>
      <c r="E14" s="16" t="s">
        <v>1055</v>
      </c>
      <c r="F14" s="16" t="s">
        <v>1056</v>
      </c>
      <c r="G14" s="16" t="s">
        <v>1057</v>
      </c>
      <c r="H14" s="16" t="s">
        <v>1058</v>
      </c>
    </row>
    <row r="15" customFormat="false" ht="23.85" hidden="false" customHeight="false" outlineLevel="0" collapsed="false">
      <c r="A15" s="30" t="s">
        <v>512</v>
      </c>
      <c r="B15" s="16" t="s">
        <v>1059</v>
      </c>
      <c r="C15" s="16" t="s">
        <v>1060</v>
      </c>
      <c r="D15" s="16" t="s">
        <v>1061</v>
      </c>
      <c r="E15" s="16" t="s">
        <v>1062</v>
      </c>
      <c r="F15" s="16" t="s">
        <v>1063</v>
      </c>
      <c r="G15" s="16" t="s">
        <v>1064</v>
      </c>
      <c r="H15" s="16" t="s">
        <v>1065</v>
      </c>
    </row>
    <row r="16" customFormat="false" ht="35.05" hidden="false" customHeight="false" outlineLevel="0" collapsed="false">
      <c r="A16" s="30" t="s">
        <v>525</v>
      </c>
      <c r="B16" s="16" t="s">
        <v>1066</v>
      </c>
      <c r="C16" s="16" t="s">
        <v>1067</v>
      </c>
      <c r="D16" s="16" t="s">
        <v>1068</v>
      </c>
      <c r="E16" s="16" t="s">
        <v>1069</v>
      </c>
      <c r="F16" s="16" t="s">
        <v>1070</v>
      </c>
      <c r="G16" s="16" t="s">
        <v>1071</v>
      </c>
      <c r="H16" s="16" t="s">
        <v>1072</v>
      </c>
    </row>
    <row r="17" customFormat="false" ht="35.05" hidden="false" customHeight="false" outlineLevel="0" collapsed="false">
      <c r="A17" s="30" t="s">
        <v>537</v>
      </c>
      <c r="B17" s="16" t="s">
        <v>1073</v>
      </c>
      <c r="C17" s="16" t="s">
        <v>1074</v>
      </c>
      <c r="D17" s="16" t="s">
        <v>1075</v>
      </c>
      <c r="E17" s="16" t="s">
        <v>1076</v>
      </c>
      <c r="F17" s="16" t="s">
        <v>1077</v>
      </c>
      <c r="G17" s="16" t="s">
        <v>1078</v>
      </c>
      <c r="H17" s="16" t="s">
        <v>1079</v>
      </c>
    </row>
    <row r="18" customFormat="false" ht="23.85" hidden="false" customHeight="false" outlineLevel="0" collapsed="false">
      <c r="A18" s="30" t="s">
        <v>550</v>
      </c>
      <c r="B18" s="16" t="s">
        <v>1080</v>
      </c>
      <c r="C18" s="16" t="s">
        <v>1081</v>
      </c>
      <c r="D18" s="16" t="s">
        <v>1082</v>
      </c>
      <c r="E18" s="16" t="s">
        <v>1083</v>
      </c>
      <c r="F18" s="16" t="s">
        <v>1084</v>
      </c>
      <c r="G18" s="16" t="s">
        <v>1085</v>
      </c>
      <c r="H18" s="16" t="s">
        <v>1086</v>
      </c>
    </row>
    <row r="19" customFormat="false" ht="35.05" hidden="false" customHeight="false" outlineLevel="0" collapsed="false">
      <c r="A19" s="30" t="s">
        <v>563</v>
      </c>
      <c r="B19" s="16" t="s">
        <v>1087</v>
      </c>
      <c r="C19" s="16" t="s">
        <v>1088</v>
      </c>
      <c r="D19" s="16" t="s">
        <v>1089</v>
      </c>
      <c r="E19" s="16" t="s">
        <v>1090</v>
      </c>
      <c r="F19" s="16" t="s">
        <v>1091</v>
      </c>
      <c r="G19" s="16" t="s">
        <v>1092</v>
      </c>
      <c r="H19" s="16" t="s">
        <v>1093</v>
      </c>
    </row>
    <row r="20" customFormat="false" ht="35.05" hidden="false" customHeight="false" outlineLevel="0" collapsed="false">
      <c r="A20" s="30" t="s">
        <v>576</v>
      </c>
      <c r="B20" s="16" t="s">
        <v>1094</v>
      </c>
      <c r="C20" s="16" t="s">
        <v>1095</v>
      </c>
      <c r="D20" s="16" t="s">
        <v>1096</v>
      </c>
      <c r="E20" s="16" t="s">
        <v>1097</v>
      </c>
      <c r="F20" s="16" t="s">
        <v>1098</v>
      </c>
      <c r="G20" s="16" t="s">
        <v>1099</v>
      </c>
      <c r="H20" s="16" t="s">
        <v>1100</v>
      </c>
    </row>
    <row r="21" customFormat="false" ht="23.85" hidden="false" customHeight="false" outlineLevel="0" collapsed="false">
      <c r="A21" s="30" t="s">
        <v>590</v>
      </c>
      <c r="B21" s="16" t="s">
        <v>1101</v>
      </c>
      <c r="C21" s="16" t="s">
        <v>1102</v>
      </c>
      <c r="D21" s="16" t="s">
        <v>1103</v>
      </c>
      <c r="E21" s="16" t="s">
        <v>1104</v>
      </c>
      <c r="F21" s="16" t="s">
        <v>1105</v>
      </c>
      <c r="G21" s="16" t="s">
        <v>1106</v>
      </c>
      <c r="H21" s="16" t="s">
        <v>1107</v>
      </c>
    </row>
    <row r="22" customFormat="false" ht="35.05" hidden="false" customHeight="false" outlineLevel="0" collapsed="false">
      <c r="A22" s="30" t="s">
        <v>603</v>
      </c>
      <c r="B22" s="16" t="s">
        <v>1108</v>
      </c>
      <c r="C22" s="16" t="s">
        <v>1109</v>
      </c>
      <c r="D22" s="16" t="s">
        <v>1110</v>
      </c>
      <c r="E22" s="16" t="s">
        <v>1111</v>
      </c>
      <c r="F22" s="16" t="s">
        <v>1112</v>
      </c>
      <c r="G22" s="16" t="s">
        <v>1113</v>
      </c>
      <c r="H22" s="16" t="s">
        <v>1100</v>
      </c>
    </row>
    <row r="23" customFormat="false" ht="35.05" hidden="false" customHeight="false" outlineLevel="0" collapsed="false">
      <c r="A23" s="30" t="s">
        <v>617</v>
      </c>
      <c r="B23" s="16" t="s">
        <v>1114</v>
      </c>
      <c r="C23" s="16" t="s">
        <v>1115</v>
      </c>
      <c r="D23" s="16" t="s">
        <v>1116</v>
      </c>
      <c r="E23" s="16" t="s">
        <v>1117</v>
      </c>
      <c r="F23" s="16" t="s">
        <v>1118</v>
      </c>
      <c r="G23" s="16" t="s">
        <v>1119</v>
      </c>
      <c r="H23" s="16" t="s">
        <v>1120</v>
      </c>
    </row>
    <row r="24" customFormat="false" ht="35.05" hidden="false" customHeight="false" outlineLevel="0" collapsed="false">
      <c r="A24" s="30" t="s">
        <v>631</v>
      </c>
      <c r="B24" s="16" t="s">
        <v>1121</v>
      </c>
      <c r="C24" s="16" t="s">
        <v>1122</v>
      </c>
      <c r="D24" s="16" t="s">
        <v>1123</v>
      </c>
      <c r="E24" s="16" t="s">
        <v>1124</v>
      </c>
      <c r="F24" s="16" t="s">
        <v>1125</v>
      </c>
      <c r="G24" s="16" t="s">
        <v>1126</v>
      </c>
      <c r="H24" s="16" t="s">
        <v>1127</v>
      </c>
    </row>
    <row r="25" customFormat="false" ht="23.85" hidden="false" customHeight="false" outlineLevel="0" collapsed="false">
      <c r="A25" s="30" t="s">
        <v>644</v>
      </c>
      <c r="B25" s="16" t="s">
        <v>1128</v>
      </c>
      <c r="C25" s="16" t="s">
        <v>1129</v>
      </c>
      <c r="D25" s="16" t="s">
        <v>1130</v>
      </c>
      <c r="E25" s="16" t="s">
        <v>1131</v>
      </c>
      <c r="F25" s="16" t="s">
        <v>1132</v>
      </c>
      <c r="G25" s="16" t="s">
        <v>1133</v>
      </c>
      <c r="H25" s="16" t="s">
        <v>1134</v>
      </c>
    </row>
    <row r="26" customFormat="false" ht="35.05" hidden="false" customHeight="false" outlineLevel="0" collapsed="false">
      <c r="A26" s="30" t="s">
        <v>657</v>
      </c>
      <c r="B26" s="16" t="s">
        <v>1135</v>
      </c>
      <c r="C26" s="16" t="s">
        <v>1136</v>
      </c>
      <c r="D26" s="16" t="s">
        <v>1137</v>
      </c>
      <c r="E26" s="16" t="s">
        <v>1138</v>
      </c>
      <c r="F26" s="16" t="s">
        <v>1139</v>
      </c>
      <c r="G26" s="16" t="s">
        <v>1140</v>
      </c>
      <c r="H26" s="16" t="s">
        <v>1141</v>
      </c>
    </row>
    <row r="27" customFormat="false" ht="23.85" hidden="false" customHeight="false" outlineLevel="0" collapsed="false">
      <c r="A27" s="30" t="s">
        <v>670</v>
      </c>
      <c r="B27" s="16" t="s">
        <v>1142</v>
      </c>
      <c r="C27" s="16" t="s">
        <v>1143</v>
      </c>
      <c r="D27" s="16" t="s">
        <v>1144</v>
      </c>
      <c r="E27" s="16" t="s">
        <v>1145</v>
      </c>
      <c r="F27" s="16" t="s">
        <v>1146</v>
      </c>
      <c r="G27" s="16" t="s">
        <v>1147</v>
      </c>
      <c r="H27" s="16" t="s">
        <v>1148</v>
      </c>
    </row>
    <row r="28" customFormat="false" ht="35.05" hidden="false" customHeight="false" outlineLevel="0" collapsed="false">
      <c r="A28" s="30" t="s">
        <v>683</v>
      </c>
      <c r="B28" s="16" t="s">
        <v>1149</v>
      </c>
      <c r="C28" s="16" t="s">
        <v>1150</v>
      </c>
      <c r="D28" s="16" t="s">
        <v>1151</v>
      </c>
      <c r="E28" s="16" t="s">
        <v>1152</v>
      </c>
      <c r="F28" s="16" t="s">
        <v>1153</v>
      </c>
      <c r="G28" s="16" t="s">
        <v>1154</v>
      </c>
      <c r="H28" s="16" t="s">
        <v>1155</v>
      </c>
    </row>
    <row r="29" customFormat="false" ht="23.85" hidden="false" customHeight="false" outlineLevel="0" collapsed="false">
      <c r="A29" s="30" t="s">
        <v>696</v>
      </c>
      <c r="B29" s="16" t="s">
        <v>1156</v>
      </c>
      <c r="C29" s="16" t="s">
        <v>1157</v>
      </c>
      <c r="D29" s="16" t="s">
        <v>1158</v>
      </c>
      <c r="E29" s="16" t="s">
        <v>1159</v>
      </c>
      <c r="F29" s="16" t="s">
        <v>1160</v>
      </c>
      <c r="G29" s="16" t="s">
        <v>1161</v>
      </c>
      <c r="H29" s="16" t="s">
        <v>1162</v>
      </c>
    </row>
    <row r="30" customFormat="false" ht="35.05" hidden="false" customHeight="false" outlineLevel="0" collapsed="false">
      <c r="A30" s="30" t="s">
        <v>709</v>
      </c>
      <c r="B30" s="16" t="s">
        <v>1163</v>
      </c>
      <c r="C30" s="16" t="s">
        <v>1164</v>
      </c>
      <c r="D30" s="16" t="s">
        <v>1165</v>
      </c>
      <c r="E30" s="16" t="s">
        <v>1166</v>
      </c>
      <c r="F30" s="16" t="s">
        <v>1167</v>
      </c>
      <c r="G30" s="16" t="s">
        <v>1168</v>
      </c>
      <c r="H30" s="16" t="s">
        <v>1169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40"/>
  </cols>
  <sheetData>
    <row r="1" customFormat="false" ht="17.35" hidden="false" customHeight="false" outlineLevel="0" collapsed="false">
      <c r="A1" s="45" t="s">
        <v>1170</v>
      </c>
      <c r="B1" s="45"/>
      <c r="C1" s="45"/>
    </row>
    <row r="3" customFormat="false" ht="15" hidden="false" customHeight="false" outlineLevel="0" collapsed="false">
      <c r="A3" s="12" t="s">
        <v>1171</v>
      </c>
      <c r="B3" s="12" t="s">
        <v>1172</v>
      </c>
      <c r="C3" s="12" t="s">
        <v>1173</v>
      </c>
    </row>
    <row r="4" customFormat="false" ht="180" hidden="false" customHeight="true" outlineLevel="0" collapsed="false">
      <c r="A4" s="16" t="s">
        <v>1174</v>
      </c>
      <c r="B4" s="16" t="s">
        <v>1175</v>
      </c>
      <c r="C4" s="16" t="s">
        <v>1176</v>
      </c>
    </row>
    <row r="5" customFormat="false" ht="180" hidden="false" customHeight="true" outlineLevel="0" collapsed="false">
      <c r="A5" s="16" t="s">
        <v>1177</v>
      </c>
      <c r="B5" s="16" t="s">
        <v>1178</v>
      </c>
      <c r="C5" s="16" t="s">
        <v>1179</v>
      </c>
    </row>
    <row r="6" customFormat="false" ht="180" hidden="false" customHeight="true" outlineLevel="0" collapsed="false">
      <c r="A6" s="16" t="s">
        <v>1180</v>
      </c>
      <c r="B6" s="16" t="s">
        <v>1181</v>
      </c>
      <c r="C6" s="16" t="s">
        <v>1182</v>
      </c>
    </row>
    <row r="7" customFormat="false" ht="180" hidden="false" customHeight="true" outlineLevel="0" collapsed="false">
      <c r="A7" s="16" t="s">
        <v>1183</v>
      </c>
      <c r="B7" s="16" t="s">
        <v>1184</v>
      </c>
      <c r="C7" s="16" t="s">
        <v>1185</v>
      </c>
    </row>
    <row r="8" customFormat="false" ht="180" hidden="false" customHeight="true" outlineLevel="0" collapsed="false">
      <c r="A8" s="16" t="s">
        <v>1186</v>
      </c>
      <c r="B8" s="16" t="s">
        <v>1187</v>
      </c>
      <c r="C8" s="16" t="s">
        <v>1188</v>
      </c>
    </row>
    <row r="9" customFormat="false" ht="180" hidden="false" customHeight="true" outlineLevel="0" collapsed="false">
      <c r="A9" s="16" t="s">
        <v>1189</v>
      </c>
      <c r="B9" s="16" t="s">
        <v>1190</v>
      </c>
      <c r="C9" s="16" t="s">
        <v>1191</v>
      </c>
    </row>
    <row r="10" customFormat="false" ht="180" hidden="false" customHeight="true" outlineLevel="0" collapsed="false">
      <c r="A10" s="16" t="s">
        <v>1192</v>
      </c>
      <c r="B10" s="16" t="s">
        <v>1193</v>
      </c>
      <c r="C10" s="16" t="s">
        <v>1194</v>
      </c>
    </row>
    <row r="11" customFormat="false" ht="180" hidden="false" customHeight="true" outlineLevel="0" collapsed="false">
      <c r="A11" s="16" t="s">
        <v>1195</v>
      </c>
      <c r="B11" s="16" t="s">
        <v>1196</v>
      </c>
      <c r="C11" s="16" t="s">
        <v>1197</v>
      </c>
    </row>
    <row r="12" customFormat="false" ht="180" hidden="false" customHeight="true" outlineLevel="0" collapsed="false">
      <c r="A12" s="16" t="s">
        <v>1198</v>
      </c>
      <c r="B12" s="16" t="s">
        <v>1199</v>
      </c>
      <c r="C12" s="16" t="s">
        <v>1200</v>
      </c>
    </row>
    <row r="13" customFormat="false" ht="180" hidden="false" customHeight="true" outlineLevel="0" collapsed="false">
      <c r="A13" s="16" t="s">
        <v>1201</v>
      </c>
      <c r="B13" s="16" t="s">
        <v>1202</v>
      </c>
      <c r="C13" s="16" t="s">
        <v>1203</v>
      </c>
    </row>
    <row r="14" customFormat="false" ht="180" hidden="false" customHeight="true" outlineLevel="0" collapsed="false">
      <c r="A14" s="16" t="s">
        <v>1204</v>
      </c>
      <c r="B14" s="16" t="s">
        <v>1205</v>
      </c>
      <c r="C14" s="16" t="s">
        <v>1206</v>
      </c>
    </row>
    <row r="15" customFormat="false" ht="180" hidden="false" customHeight="true" outlineLevel="0" collapsed="false">
      <c r="A15" s="16" t="s">
        <v>1207</v>
      </c>
      <c r="B15" s="16" t="s">
        <v>1208</v>
      </c>
      <c r="C15" s="16" t="s">
        <v>1209</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3" min="2" style="0" width="28"/>
    <col collapsed="false" customWidth="true" hidden="false" outlineLevel="0" max="4" min="4" style="0" width="32"/>
    <col collapsed="false" customWidth="true" hidden="false" outlineLevel="0" max="5" min="5" style="0" width="22"/>
  </cols>
  <sheetData>
    <row r="1" customFormat="false" ht="17.35" hidden="false" customHeight="false" outlineLevel="0" collapsed="false">
      <c r="A1" s="45" t="s">
        <v>1210</v>
      </c>
      <c r="B1" s="45"/>
      <c r="C1" s="45"/>
      <c r="D1" s="45"/>
      <c r="E1" s="45"/>
    </row>
    <row r="3" customFormat="false" ht="26.85" hidden="false" customHeight="false" outlineLevel="0" collapsed="false">
      <c r="A3" s="12" t="s">
        <v>1211</v>
      </c>
      <c r="B3" s="12" t="s">
        <v>1212</v>
      </c>
      <c r="C3" s="12" t="s">
        <v>1213</v>
      </c>
      <c r="D3" s="12" t="s">
        <v>1214</v>
      </c>
      <c r="E3" s="12" t="s">
        <v>1215</v>
      </c>
    </row>
    <row r="4" customFormat="false" ht="69.75" hidden="false" customHeight="true" outlineLevel="0" collapsed="false">
      <c r="A4" s="16" t="s">
        <v>1216</v>
      </c>
      <c r="B4" s="16" t="s">
        <v>1217</v>
      </c>
      <c r="C4" s="30" t="s">
        <v>1218</v>
      </c>
      <c r="D4" s="16" t="s">
        <v>1219</v>
      </c>
      <c r="E4" s="30" t="s">
        <v>1220</v>
      </c>
    </row>
    <row r="5" customFormat="false" ht="69.75" hidden="false" customHeight="true" outlineLevel="0" collapsed="false">
      <c r="A5" s="16" t="s">
        <v>1221</v>
      </c>
      <c r="B5" s="16" t="s">
        <v>1222</v>
      </c>
      <c r="C5" s="30" t="s">
        <v>1223</v>
      </c>
      <c r="D5" s="16" t="s">
        <v>1224</v>
      </c>
      <c r="E5" s="30" t="s">
        <v>1225</v>
      </c>
    </row>
    <row r="6" customFormat="false" ht="69.75" hidden="false" customHeight="true" outlineLevel="0" collapsed="false">
      <c r="A6" s="16" t="s">
        <v>1226</v>
      </c>
      <c r="B6" s="16" t="s">
        <v>1227</v>
      </c>
      <c r="C6" s="30" t="s">
        <v>1228</v>
      </c>
      <c r="D6" s="16" t="s">
        <v>1229</v>
      </c>
      <c r="E6" s="30" t="s">
        <v>1230</v>
      </c>
    </row>
    <row r="7" customFormat="false" ht="69.75" hidden="false" customHeight="true" outlineLevel="0" collapsed="false">
      <c r="A7" s="16" t="s">
        <v>1231</v>
      </c>
      <c r="B7" s="16" t="s">
        <v>1232</v>
      </c>
      <c r="C7" s="30" t="s">
        <v>1233</v>
      </c>
      <c r="D7" s="16" t="s">
        <v>1234</v>
      </c>
      <c r="E7" s="30" t="s">
        <v>1235</v>
      </c>
    </row>
    <row r="8" customFormat="false" ht="69.75" hidden="false" customHeight="true" outlineLevel="0" collapsed="false">
      <c r="A8" s="16" t="s">
        <v>1236</v>
      </c>
      <c r="B8" s="16" t="s">
        <v>1237</v>
      </c>
      <c r="C8" s="30" t="s">
        <v>1238</v>
      </c>
      <c r="D8" s="16" t="s">
        <v>1239</v>
      </c>
      <c r="E8" s="30" t="s">
        <v>1240</v>
      </c>
    </row>
    <row r="9" customFormat="false" ht="69.75" hidden="false" customHeight="true" outlineLevel="0" collapsed="false">
      <c r="A9" s="16" t="s">
        <v>1241</v>
      </c>
      <c r="B9" s="16" t="s">
        <v>1242</v>
      </c>
      <c r="C9" s="30" t="s">
        <v>1243</v>
      </c>
      <c r="D9" s="16" t="s">
        <v>1244</v>
      </c>
      <c r="E9" s="30" t="s">
        <v>1245</v>
      </c>
    </row>
    <row r="10" customFormat="false" ht="69.75" hidden="false" customHeight="true" outlineLevel="0" collapsed="false">
      <c r="A10" s="16" t="s">
        <v>1246</v>
      </c>
      <c r="B10" s="16" t="s">
        <v>1247</v>
      </c>
      <c r="C10" s="30" t="s">
        <v>1248</v>
      </c>
      <c r="D10" s="16" t="s">
        <v>1249</v>
      </c>
      <c r="E10" s="30" t="s">
        <v>1250</v>
      </c>
    </row>
    <row r="11" customFormat="false" ht="69.75" hidden="false" customHeight="true" outlineLevel="0" collapsed="false">
      <c r="A11" s="16" t="s">
        <v>1251</v>
      </c>
      <c r="B11" s="16" t="s">
        <v>1252</v>
      </c>
      <c r="C11" s="30" t="s">
        <v>1253</v>
      </c>
      <c r="D11" s="16" t="s">
        <v>1254</v>
      </c>
      <c r="E11" s="30" t="s">
        <v>1255</v>
      </c>
    </row>
    <row r="12" customFormat="false" ht="69.75" hidden="false" customHeight="true" outlineLevel="0" collapsed="false">
      <c r="A12" s="16" t="s">
        <v>1256</v>
      </c>
      <c r="B12" s="16" t="s">
        <v>1257</v>
      </c>
      <c r="C12" s="30" t="s">
        <v>1258</v>
      </c>
      <c r="D12" s="16" t="s">
        <v>1259</v>
      </c>
      <c r="E12" s="30" t="s">
        <v>1260</v>
      </c>
    </row>
    <row r="13" customFormat="false" ht="69.75" hidden="false" customHeight="true" outlineLevel="0" collapsed="false">
      <c r="A13" s="16" t="s">
        <v>1261</v>
      </c>
      <c r="B13" s="16" t="s">
        <v>1262</v>
      </c>
      <c r="C13" s="30" t="s">
        <v>1263</v>
      </c>
      <c r="D13" s="16" t="s">
        <v>1264</v>
      </c>
      <c r="E13" s="30" t="s">
        <v>1265</v>
      </c>
    </row>
    <row r="14" customFormat="false" ht="69.75" hidden="false" customHeight="true" outlineLevel="0" collapsed="false">
      <c r="A14" s="16" t="s">
        <v>1266</v>
      </c>
      <c r="B14" s="16" t="s">
        <v>1267</v>
      </c>
      <c r="C14" s="30" t="s">
        <v>1268</v>
      </c>
      <c r="D14" s="16" t="s">
        <v>1269</v>
      </c>
      <c r="E14" s="30" t="s">
        <v>1270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22"/>
  </cols>
  <sheetData>
    <row r="1" customFormat="false" ht="17.35" hidden="false" customHeight="false" outlineLevel="0" collapsed="false">
      <c r="A1" s="45" t="s">
        <v>1271</v>
      </c>
      <c r="B1" s="45"/>
      <c r="C1" s="45"/>
    </row>
    <row r="3" customFormat="false" ht="15" hidden="false" customHeight="false" outlineLevel="0" collapsed="false">
      <c r="A3" s="12" t="s">
        <v>1272</v>
      </c>
      <c r="B3" s="12" t="s">
        <v>1273</v>
      </c>
      <c r="C3" s="12" t="s">
        <v>1274</v>
      </c>
    </row>
    <row r="4" customFormat="false" ht="60" hidden="false" customHeight="true" outlineLevel="0" collapsed="false">
      <c r="A4" s="16" t="s">
        <v>1275</v>
      </c>
      <c r="B4" s="16" t="s">
        <v>1276</v>
      </c>
      <c r="C4" s="20" t="s">
        <v>1277</v>
      </c>
    </row>
    <row r="5" customFormat="false" ht="60" hidden="false" customHeight="true" outlineLevel="0" collapsed="false">
      <c r="A5" s="16" t="s">
        <v>1278</v>
      </c>
      <c r="B5" s="16" t="s">
        <v>1279</v>
      </c>
      <c r="C5" s="20" t="s">
        <v>1280</v>
      </c>
    </row>
    <row r="6" customFormat="false" ht="60" hidden="false" customHeight="true" outlineLevel="0" collapsed="false">
      <c r="A6" s="16" t="s">
        <v>1281</v>
      </c>
      <c r="B6" s="16" t="s">
        <v>1282</v>
      </c>
      <c r="C6" s="20" t="s">
        <v>1283</v>
      </c>
    </row>
    <row r="7" customFormat="false" ht="60" hidden="false" customHeight="true" outlineLevel="0" collapsed="false">
      <c r="A7" s="16" t="s">
        <v>1284</v>
      </c>
      <c r="B7" s="16" t="s">
        <v>1285</v>
      </c>
      <c r="C7" s="20" t="s">
        <v>1286</v>
      </c>
    </row>
    <row r="8" customFormat="false" ht="60" hidden="false" customHeight="true" outlineLevel="0" collapsed="false">
      <c r="A8" s="16" t="s">
        <v>1287</v>
      </c>
      <c r="B8" s="16" t="s">
        <v>1288</v>
      </c>
      <c r="C8" s="20" t="s">
        <v>1289</v>
      </c>
    </row>
    <row r="9" customFormat="false" ht="60" hidden="false" customHeight="true" outlineLevel="0" collapsed="false">
      <c r="A9" s="16" t="s">
        <v>1290</v>
      </c>
      <c r="B9" s="16" t="s">
        <v>1291</v>
      </c>
      <c r="C9" s="20" t="s">
        <v>1292</v>
      </c>
    </row>
    <row r="10" customFormat="false" ht="60" hidden="false" customHeight="true" outlineLevel="0" collapsed="false">
      <c r="A10" s="16" t="s">
        <v>1293</v>
      </c>
      <c r="B10" s="16" t="s">
        <v>1294</v>
      </c>
      <c r="C10" s="20" t="s">
        <v>1295</v>
      </c>
    </row>
    <row r="11" customFormat="false" ht="60" hidden="false" customHeight="true" outlineLevel="0" collapsed="false">
      <c r="A11" s="16" t="s">
        <v>1296</v>
      </c>
      <c r="B11" s="16" t="s">
        <v>1297</v>
      </c>
      <c r="C11" s="20" t="s">
        <v>1298</v>
      </c>
    </row>
    <row r="12" customFormat="false" ht="60" hidden="false" customHeight="true" outlineLevel="0" collapsed="false">
      <c r="A12" s="16" t="s">
        <v>1299</v>
      </c>
      <c r="B12" s="16" t="s">
        <v>1300</v>
      </c>
      <c r="C12" s="20" t="s">
        <v>1301</v>
      </c>
    </row>
    <row r="13" customFormat="false" ht="60" hidden="false" customHeight="true" outlineLevel="0" collapsed="false">
      <c r="A13" s="16" t="s">
        <v>1302</v>
      </c>
      <c r="B13" s="16" t="s">
        <v>1303</v>
      </c>
      <c r="C13" s="20" t="s">
        <v>1304</v>
      </c>
    </row>
    <row r="14" customFormat="false" ht="60" hidden="false" customHeight="true" outlineLevel="0" collapsed="false">
      <c r="A14" s="16" t="s">
        <v>1305</v>
      </c>
      <c r="B14" s="16" t="s">
        <v>1306</v>
      </c>
      <c r="C14" s="20" t="s">
        <v>1307</v>
      </c>
    </row>
    <row r="15" customFormat="false" ht="60" hidden="false" customHeight="true" outlineLevel="0" collapsed="false">
      <c r="A15" s="16" t="s">
        <v>1308</v>
      </c>
      <c r="B15" s="16" t="s">
        <v>1309</v>
      </c>
      <c r="C15" s="20" t="s">
        <v>1310</v>
      </c>
    </row>
    <row r="16" customFormat="false" ht="60" hidden="false" customHeight="true" outlineLevel="0" collapsed="false">
      <c r="A16" s="16" t="s">
        <v>1311</v>
      </c>
      <c r="B16" s="16" t="s">
        <v>1312</v>
      </c>
      <c r="C16" s="20" t="s">
        <v>1313</v>
      </c>
    </row>
    <row r="19" customFormat="false" ht="15" hidden="false" customHeight="false" outlineLevel="0" collapsed="false">
      <c r="A19" s="47" t="s">
        <v>1314</v>
      </c>
      <c r="B19" s="47"/>
      <c r="C19" s="47"/>
    </row>
    <row r="20" customFormat="false" ht="15" hidden="false" customHeight="false" outlineLevel="0" collapsed="false">
      <c r="A20" s="12" t="s">
        <v>1315</v>
      </c>
      <c r="B20" s="12" t="s">
        <v>1316</v>
      </c>
      <c r="C20" s="12" t="s">
        <v>1317</v>
      </c>
    </row>
    <row r="21" customFormat="false" ht="45" hidden="false" customHeight="true" outlineLevel="0" collapsed="false">
      <c r="A21" s="16" t="s">
        <v>1318</v>
      </c>
      <c r="B21" s="16" t="s">
        <v>1319</v>
      </c>
      <c r="C21" s="16"/>
    </row>
    <row r="22" customFormat="false" ht="45" hidden="false" customHeight="true" outlineLevel="0" collapsed="false">
      <c r="A22" s="16" t="s">
        <v>1320</v>
      </c>
      <c r="B22" s="16" t="s">
        <v>1321</v>
      </c>
      <c r="C22" s="16"/>
    </row>
    <row r="23" customFormat="false" ht="45" hidden="false" customHeight="true" outlineLevel="0" collapsed="false">
      <c r="A23" s="16" t="s">
        <v>1322</v>
      </c>
      <c r="B23" s="16" t="s">
        <v>1323</v>
      </c>
      <c r="C23" s="16"/>
    </row>
    <row r="24" customFormat="false" ht="45" hidden="false" customHeight="true" outlineLevel="0" collapsed="false">
      <c r="A24" s="16" t="s">
        <v>1324</v>
      </c>
      <c r="B24" s="16" t="s">
        <v>1325</v>
      </c>
      <c r="C24" s="16"/>
    </row>
    <row r="25" customFormat="false" ht="45" hidden="false" customHeight="true" outlineLevel="0" collapsed="false">
      <c r="A25" s="16" t="s">
        <v>1326</v>
      </c>
      <c r="B25" s="16" t="s">
        <v>1327</v>
      </c>
      <c r="C25" s="16"/>
    </row>
    <row r="26" customFormat="false" ht="45" hidden="false" customHeight="true" outlineLevel="0" collapsed="false">
      <c r="A26" s="16" t="s">
        <v>1328</v>
      </c>
      <c r="B26" s="16" t="s">
        <v>1329</v>
      </c>
      <c r="C26" s="16"/>
    </row>
  </sheetData>
  <mergeCells count="2">
    <mergeCell ref="A1:C1"/>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4" min="3" style="0" width="16"/>
    <col collapsed="false" customWidth="true" hidden="false" outlineLevel="0" max="5" min="5" style="0" width="30"/>
  </cols>
  <sheetData>
    <row r="1" customFormat="false" ht="17.35" hidden="false" customHeight="false" outlineLevel="0" collapsed="false">
      <c r="A1" s="45" t="s">
        <v>1330</v>
      </c>
      <c r="B1" s="45"/>
      <c r="C1" s="45"/>
      <c r="D1" s="45"/>
      <c r="E1" s="45"/>
    </row>
    <row r="3" customFormat="false" ht="26.85" hidden="false" customHeight="false" outlineLevel="0" collapsed="false">
      <c r="A3" s="12" t="s">
        <v>1331</v>
      </c>
      <c r="B3" s="12" t="s">
        <v>1332</v>
      </c>
      <c r="C3" s="12" t="s">
        <v>1333</v>
      </c>
      <c r="D3" s="12" t="s">
        <v>76</v>
      </c>
      <c r="E3" s="12" t="s">
        <v>1334</v>
      </c>
    </row>
    <row r="4" customFormat="false" ht="23.85" hidden="false" customHeight="false" outlineLevel="0" collapsed="false">
      <c r="A4" s="16" t="s">
        <v>1335</v>
      </c>
      <c r="B4" s="16" t="s">
        <v>1336</v>
      </c>
      <c r="C4" s="30" t="s">
        <v>1337</v>
      </c>
      <c r="D4" s="30" t="s">
        <v>862</v>
      </c>
      <c r="E4" s="16" t="s">
        <v>1338</v>
      </c>
    </row>
    <row r="5" customFormat="false" ht="23.85" hidden="false" customHeight="false" outlineLevel="0" collapsed="false">
      <c r="A5" s="16" t="s">
        <v>1339</v>
      </c>
      <c r="B5" s="16" t="s">
        <v>1340</v>
      </c>
      <c r="C5" s="30" t="s">
        <v>1341</v>
      </c>
      <c r="D5" s="30" t="s">
        <v>1342</v>
      </c>
      <c r="E5" s="16" t="s">
        <v>1343</v>
      </c>
    </row>
    <row r="6" customFormat="false" ht="23.85" hidden="false" customHeight="false" outlineLevel="0" collapsed="false">
      <c r="A6" s="16" t="s">
        <v>1344</v>
      </c>
      <c r="B6" s="16" t="s">
        <v>1345</v>
      </c>
      <c r="C6" s="30" t="s">
        <v>1346</v>
      </c>
      <c r="D6" s="30" t="s">
        <v>1347</v>
      </c>
      <c r="E6" s="16" t="s">
        <v>1348</v>
      </c>
    </row>
    <row r="7" customFormat="false" ht="23.85" hidden="false" customHeight="false" outlineLevel="0" collapsed="false">
      <c r="A7" s="16" t="s">
        <v>1349</v>
      </c>
      <c r="B7" s="16" t="s">
        <v>1350</v>
      </c>
      <c r="C7" s="30" t="s">
        <v>1351</v>
      </c>
      <c r="D7" s="30" t="s">
        <v>1352</v>
      </c>
      <c r="E7" s="16" t="s">
        <v>1353</v>
      </c>
    </row>
    <row r="8" customFormat="false" ht="15" hidden="false" customHeight="false" outlineLevel="0" collapsed="false">
      <c r="A8" s="16" t="s">
        <v>1354</v>
      </c>
      <c r="B8" s="16" t="s">
        <v>1355</v>
      </c>
      <c r="C8" s="30"/>
      <c r="D8" s="30" t="s">
        <v>1356</v>
      </c>
      <c r="E8" s="16" t="s">
        <v>1357</v>
      </c>
    </row>
    <row r="9" customFormat="false" ht="15" hidden="false" customHeight="false" outlineLevel="0" collapsed="false">
      <c r="A9" s="16" t="s">
        <v>1358</v>
      </c>
      <c r="B9" s="16"/>
      <c r="C9" s="30" t="s">
        <v>1351</v>
      </c>
      <c r="D9" s="30" t="s">
        <v>1359</v>
      </c>
      <c r="E9" s="16" t="s">
        <v>1360</v>
      </c>
    </row>
    <row r="10" customFormat="false" ht="15" hidden="false" customHeight="false" outlineLevel="0" collapsed="false">
      <c r="A10" s="16" t="s">
        <v>1361</v>
      </c>
      <c r="B10" s="16"/>
      <c r="C10" s="30"/>
      <c r="D10" s="30" t="s">
        <v>1362</v>
      </c>
      <c r="E10" s="16" t="s">
        <v>1363</v>
      </c>
    </row>
    <row r="11" customFormat="false" ht="23.85" hidden="false" customHeight="false" outlineLevel="0" collapsed="false">
      <c r="A11" s="16" t="s">
        <v>1364</v>
      </c>
      <c r="B11" s="16"/>
      <c r="C11" s="30"/>
      <c r="D11" s="30" t="s">
        <v>1365</v>
      </c>
      <c r="E11" s="16" t="s">
        <v>1363</v>
      </c>
    </row>
    <row r="12" customFormat="false" ht="23.85" hidden="false" customHeight="false" outlineLevel="0" collapsed="false">
      <c r="A12" s="16" t="s">
        <v>1366</v>
      </c>
      <c r="B12" s="16"/>
      <c r="C12" s="30" t="s">
        <v>1367</v>
      </c>
      <c r="D12" s="30" t="s">
        <v>1368</v>
      </c>
      <c r="E12" s="16" t="s">
        <v>1369</v>
      </c>
    </row>
    <row r="13" customFormat="false" ht="15" hidden="false" customHeight="false" outlineLevel="0" collapsed="false">
      <c r="A13" s="16" t="s">
        <v>1370</v>
      </c>
      <c r="B13" s="16"/>
      <c r="C13" s="30" t="s">
        <v>1367</v>
      </c>
      <c r="D13" s="30" t="s">
        <v>1371</v>
      </c>
      <c r="E13" s="16" t="s">
        <v>1372</v>
      </c>
    </row>
    <row r="14" customFormat="false" ht="23.85" hidden="false" customHeight="false" outlineLevel="0" collapsed="false">
      <c r="A14" s="16" t="s">
        <v>1373</v>
      </c>
      <c r="B14" s="16" t="s">
        <v>1374</v>
      </c>
      <c r="C14" s="30" t="s">
        <v>1367</v>
      </c>
      <c r="D14" s="30" t="s">
        <v>1375</v>
      </c>
      <c r="E14" s="16" t="s">
        <v>1376</v>
      </c>
    </row>
    <row r="15" customFormat="false" ht="15" hidden="false" customHeight="false" outlineLevel="0" collapsed="false">
      <c r="A15" s="16" t="s">
        <v>1377</v>
      </c>
      <c r="B15" s="16"/>
      <c r="C15" s="30"/>
      <c r="D15" s="30" t="s">
        <v>1378</v>
      </c>
      <c r="E15" s="16" t="s">
        <v>1379</v>
      </c>
    </row>
    <row r="16" customFormat="false" ht="15" hidden="false" customHeight="false" outlineLevel="0" collapsed="false">
      <c r="A16" s="16" t="s">
        <v>1380</v>
      </c>
      <c r="B16" s="16"/>
      <c r="C16" s="30"/>
      <c r="D16" s="30" t="s">
        <v>1381</v>
      </c>
      <c r="E16" s="16" t="s">
        <v>1379</v>
      </c>
    </row>
    <row r="17" customFormat="false" ht="15" hidden="false" customHeight="false" outlineLevel="0" collapsed="false">
      <c r="A17" s="16" t="s">
        <v>1382</v>
      </c>
      <c r="B17" s="16"/>
      <c r="C17" s="30" t="s">
        <v>1367</v>
      </c>
      <c r="D17" s="30" t="s">
        <v>393</v>
      </c>
      <c r="E17" s="16" t="s">
        <v>1383</v>
      </c>
    </row>
    <row r="18" customFormat="false" ht="15" hidden="false" customHeight="false" outlineLevel="0" collapsed="false">
      <c r="A18" s="16" t="s">
        <v>1384</v>
      </c>
      <c r="B18" s="16"/>
      <c r="C18" s="30" t="s">
        <v>1367</v>
      </c>
      <c r="D18" s="30" t="s">
        <v>1385</v>
      </c>
      <c r="E18" s="16" t="s">
        <v>1386</v>
      </c>
    </row>
    <row r="19" customFormat="false" ht="15" hidden="false" customHeight="false" outlineLevel="0" collapsed="false">
      <c r="A19" s="16" t="s">
        <v>1387</v>
      </c>
      <c r="B19" s="16"/>
      <c r="C19" s="30" t="s">
        <v>1367</v>
      </c>
      <c r="D19" s="30" t="s">
        <v>1388</v>
      </c>
      <c r="E19" s="16" t="s">
        <v>1386</v>
      </c>
    </row>
    <row r="20" customFormat="false" ht="23.85" hidden="false" customHeight="false" outlineLevel="0" collapsed="false">
      <c r="A20" s="16" t="s">
        <v>1389</v>
      </c>
      <c r="B20" s="16"/>
      <c r="C20" s="30"/>
      <c r="D20" s="30" t="s">
        <v>1390</v>
      </c>
      <c r="E20" s="16" t="s">
        <v>1391</v>
      </c>
    </row>
    <row r="21" customFormat="false" ht="15" hidden="false" customHeight="false" outlineLevel="0" collapsed="false">
      <c r="A21" s="16" t="s">
        <v>1392</v>
      </c>
      <c r="B21" s="16" t="s">
        <v>1393</v>
      </c>
      <c r="C21" s="30" t="s">
        <v>1367</v>
      </c>
      <c r="D21" s="30" t="s">
        <v>1394</v>
      </c>
      <c r="E21" s="16" t="s">
        <v>1395</v>
      </c>
    </row>
    <row r="22" customFormat="false" ht="15" hidden="false" customHeight="false" outlineLevel="0" collapsed="false">
      <c r="A22" s="16" t="s">
        <v>1396</v>
      </c>
      <c r="B22" s="16"/>
      <c r="C22" s="30"/>
      <c r="D22" s="30" t="s">
        <v>1397</v>
      </c>
      <c r="E22" s="16" t="s">
        <v>1398</v>
      </c>
    </row>
    <row r="23" customFormat="false" ht="15" hidden="false" customHeight="false" outlineLevel="0" collapsed="false">
      <c r="A23" s="16" t="s">
        <v>1399</v>
      </c>
      <c r="B23" s="16" t="s">
        <v>1400</v>
      </c>
      <c r="C23" s="30"/>
      <c r="D23" s="30" t="s">
        <v>1401</v>
      </c>
      <c r="E23" s="16" t="s">
        <v>1402</v>
      </c>
    </row>
    <row r="24" customFormat="false" ht="23.85" hidden="false" customHeight="false" outlineLevel="0" collapsed="false">
      <c r="A24" s="16" t="s">
        <v>1403</v>
      </c>
      <c r="B24" s="16" t="s">
        <v>1404</v>
      </c>
      <c r="C24" s="30"/>
      <c r="D24" s="30" t="s">
        <v>1405</v>
      </c>
      <c r="E24" s="16" t="s">
        <v>1406</v>
      </c>
    </row>
    <row r="25" customFormat="false" ht="23.85" hidden="false" customHeight="false" outlineLevel="0" collapsed="false">
      <c r="A25" s="16" t="s">
        <v>1407</v>
      </c>
      <c r="B25" s="16"/>
      <c r="C25" s="30" t="s">
        <v>1408</v>
      </c>
      <c r="D25" s="30" t="s">
        <v>1409</v>
      </c>
      <c r="E25" s="16" t="s">
        <v>1410</v>
      </c>
    </row>
    <row r="26" customFormat="false" ht="23.85" hidden="false" customHeight="false" outlineLevel="0" collapsed="false">
      <c r="A26" s="16" t="s">
        <v>1411</v>
      </c>
      <c r="B26" s="16" t="s">
        <v>1412</v>
      </c>
      <c r="C26" s="30"/>
      <c r="D26" s="30" t="s">
        <v>1413</v>
      </c>
      <c r="E26" s="16" t="s">
        <v>1414</v>
      </c>
    </row>
    <row r="28" customFormat="false" ht="15" hidden="false" customHeight="false" outlineLevel="0" collapsed="false">
      <c r="A28" s="47" t="s">
        <v>1415</v>
      </c>
      <c r="B28" s="47"/>
      <c r="C28" s="47"/>
      <c r="D28" s="47"/>
      <c r="E28" s="47"/>
    </row>
    <row r="29" customFormat="false" ht="26.85" hidden="false" customHeight="false" outlineLevel="0" collapsed="false">
      <c r="A29" s="12" t="s">
        <v>1416</v>
      </c>
      <c r="B29" s="12" t="s">
        <v>1417</v>
      </c>
      <c r="C29" s="12" t="s">
        <v>1418</v>
      </c>
      <c r="D29" s="12" t="s">
        <v>1419</v>
      </c>
      <c r="E29" s="12" t="s">
        <v>256</v>
      </c>
    </row>
    <row r="30" customFormat="false" ht="23.85" hidden="false" customHeight="false" outlineLevel="0" collapsed="false">
      <c r="A30" s="16" t="s">
        <v>1420</v>
      </c>
      <c r="B30" s="16" t="s">
        <v>1421</v>
      </c>
      <c r="C30" s="16" t="s">
        <v>1422</v>
      </c>
      <c r="D30" s="16" t="s">
        <v>1317</v>
      </c>
      <c r="E30" s="30" t="s">
        <v>1423</v>
      </c>
    </row>
    <row r="31" customFormat="false" ht="23.85" hidden="false" customHeight="false" outlineLevel="0" collapsed="false">
      <c r="A31" s="16" t="s">
        <v>1424</v>
      </c>
      <c r="B31" s="16" t="s">
        <v>1425</v>
      </c>
      <c r="C31" s="16" t="s">
        <v>1422</v>
      </c>
      <c r="D31" s="16" t="s">
        <v>1317</v>
      </c>
      <c r="E31" s="30" t="s">
        <v>1423</v>
      </c>
    </row>
    <row r="32" customFormat="false" ht="23.85" hidden="false" customHeight="false" outlineLevel="0" collapsed="false">
      <c r="A32" s="16" t="s">
        <v>1360</v>
      </c>
      <c r="B32" s="16" t="s">
        <v>1426</v>
      </c>
      <c r="C32" s="16" t="s">
        <v>1422</v>
      </c>
      <c r="D32" s="16" t="s">
        <v>1317</v>
      </c>
      <c r="E32" s="30" t="s">
        <v>1423</v>
      </c>
    </row>
    <row r="33" customFormat="false" ht="15" hidden="false" customHeight="false" outlineLevel="0" collapsed="false">
      <c r="A33" s="16" t="s">
        <v>1251</v>
      </c>
      <c r="B33" s="16" t="s">
        <v>1427</v>
      </c>
      <c r="C33" s="16" t="s">
        <v>1422</v>
      </c>
      <c r="D33" s="16" t="s">
        <v>1317</v>
      </c>
      <c r="E33" s="30" t="s">
        <v>1423</v>
      </c>
    </row>
    <row r="34" customFormat="false" ht="23.85" hidden="false" customHeight="false" outlineLevel="0" collapsed="false">
      <c r="A34" s="16" t="s">
        <v>1428</v>
      </c>
      <c r="B34" s="16" t="s">
        <v>1429</v>
      </c>
      <c r="C34" s="16" t="s">
        <v>1430</v>
      </c>
      <c r="D34" s="16" t="s">
        <v>1431</v>
      </c>
      <c r="E34" s="30" t="s">
        <v>297</v>
      </c>
    </row>
    <row r="35" customFormat="false" ht="23.85" hidden="false" customHeight="false" outlineLevel="0" collapsed="false">
      <c r="A35" s="16" t="s">
        <v>1432</v>
      </c>
      <c r="B35" s="16" t="s">
        <v>1433</v>
      </c>
      <c r="C35" s="16" t="s">
        <v>1434</v>
      </c>
      <c r="D35" s="16" t="s">
        <v>1435</v>
      </c>
      <c r="E35" s="30" t="s">
        <v>297</v>
      </c>
    </row>
    <row r="36" customFormat="false" ht="35.05" hidden="false" customHeight="false" outlineLevel="0" collapsed="false">
      <c r="A36" s="16" t="s">
        <v>1436</v>
      </c>
      <c r="B36" s="16" t="s">
        <v>1437</v>
      </c>
      <c r="C36" s="16" t="s">
        <v>1438</v>
      </c>
      <c r="D36" s="16" t="s">
        <v>1439</v>
      </c>
      <c r="E36" s="30" t="s">
        <v>258</v>
      </c>
    </row>
    <row r="37" customFormat="false" ht="23.85" hidden="false" customHeight="false" outlineLevel="0" collapsed="false">
      <c r="A37" s="16" t="s">
        <v>1440</v>
      </c>
      <c r="B37" s="16" t="s">
        <v>1441</v>
      </c>
      <c r="C37" s="16" t="s">
        <v>1442</v>
      </c>
      <c r="D37" s="16" t="s">
        <v>1443</v>
      </c>
      <c r="E37" s="30" t="s">
        <v>258</v>
      </c>
    </row>
    <row r="38" customFormat="false" ht="23.85" hidden="false" customHeight="false" outlineLevel="0" collapsed="false">
      <c r="A38" s="16" t="s">
        <v>1444</v>
      </c>
      <c r="B38" s="16" t="s">
        <v>1445</v>
      </c>
      <c r="C38" s="16" t="s">
        <v>1446</v>
      </c>
      <c r="D38" s="16" t="s">
        <v>1447</v>
      </c>
      <c r="E38" s="30" t="s">
        <v>297</v>
      </c>
    </row>
    <row r="39" customFormat="false" ht="23.85" hidden="false" customHeight="false" outlineLevel="0" collapsed="false">
      <c r="A39" s="16" t="s">
        <v>1448</v>
      </c>
      <c r="B39" s="16" t="s">
        <v>1449</v>
      </c>
      <c r="C39" s="16" t="s">
        <v>1422</v>
      </c>
      <c r="D39" s="16" t="s">
        <v>1450</v>
      </c>
      <c r="E39" s="30" t="s">
        <v>297</v>
      </c>
    </row>
    <row r="40" customFormat="false" ht="15" hidden="false" customHeight="false" outlineLevel="0" collapsed="false">
      <c r="A40" s="16" t="s">
        <v>1451</v>
      </c>
      <c r="B40" s="16" t="s">
        <v>1452</v>
      </c>
      <c r="C40" s="16" t="s">
        <v>1422</v>
      </c>
      <c r="D40" s="16" t="s">
        <v>1453</v>
      </c>
      <c r="E40" s="30" t="s">
        <v>297</v>
      </c>
    </row>
    <row r="41" customFormat="false" ht="23.85" hidden="false" customHeight="false" outlineLevel="0" collapsed="false">
      <c r="A41" s="16" t="s">
        <v>1454</v>
      </c>
      <c r="B41" s="16" t="s">
        <v>1455</v>
      </c>
      <c r="C41" s="16" t="s">
        <v>1422</v>
      </c>
      <c r="D41" s="16" t="s">
        <v>1456</v>
      </c>
      <c r="E41" s="30" t="s">
        <v>258</v>
      </c>
    </row>
    <row r="42" customFormat="false" ht="15" hidden="false" customHeight="false" outlineLevel="0" collapsed="false">
      <c r="A42" s="16" t="s">
        <v>1457</v>
      </c>
      <c r="B42" s="16" t="s">
        <v>1458</v>
      </c>
      <c r="C42" s="16" t="s">
        <v>1459</v>
      </c>
      <c r="D42" s="16" t="s">
        <v>1460</v>
      </c>
      <c r="E42" s="30" t="s">
        <v>297</v>
      </c>
    </row>
    <row r="43" customFormat="false" ht="23.85" hidden="false" customHeight="false" outlineLevel="0" collapsed="false">
      <c r="A43" s="16" t="s">
        <v>1461</v>
      </c>
      <c r="B43" s="16" t="s">
        <v>1462</v>
      </c>
      <c r="C43" s="16" t="s">
        <v>1463</v>
      </c>
      <c r="D43" s="16" t="s">
        <v>1464</v>
      </c>
      <c r="E43" s="30" t="s">
        <v>266</v>
      </c>
    </row>
  </sheetData>
  <mergeCells count="2">
    <mergeCell ref="A1:E1"/>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50"/>
    <col collapsed="false" customWidth="true" hidden="false" outlineLevel="0" max="4" min="4" style="0" width="15"/>
    <col collapsed="false" customWidth="true" hidden="false" outlineLevel="0" max="5" min="5" style="0" width="22"/>
  </cols>
  <sheetData>
    <row r="1" customFormat="false" ht="17.35" hidden="false" customHeight="false" outlineLevel="0" collapsed="false">
      <c r="A1" s="45" t="s">
        <v>1465</v>
      </c>
      <c r="B1" s="45"/>
      <c r="C1" s="45"/>
      <c r="D1" s="45"/>
      <c r="E1" s="45"/>
    </row>
    <row r="2" customFormat="false" ht="15" hidden="false" customHeight="false" outlineLevel="0" collapsed="false">
      <c r="A2" s="46" t="s">
        <v>1466</v>
      </c>
      <c r="B2" s="46"/>
      <c r="C2" s="46"/>
      <c r="D2" s="46"/>
      <c r="E2" s="46"/>
    </row>
    <row r="4" customFormat="false" ht="26.85" hidden="false" customHeight="false" outlineLevel="0" collapsed="false">
      <c r="A4" s="12" t="s">
        <v>360</v>
      </c>
      <c r="B4" s="12" t="s">
        <v>1467</v>
      </c>
      <c r="C4" s="12" t="s">
        <v>1468</v>
      </c>
      <c r="D4" s="12" t="s">
        <v>1469</v>
      </c>
      <c r="E4" s="12" t="s">
        <v>1470</v>
      </c>
    </row>
    <row r="5" customFormat="false" ht="109.5" hidden="false" customHeight="true" outlineLevel="0" collapsed="false">
      <c r="A5" s="30" t="s">
        <v>1471</v>
      </c>
      <c r="B5" s="16" t="s">
        <v>1472</v>
      </c>
      <c r="C5" s="16" t="s">
        <v>1473</v>
      </c>
      <c r="D5" s="16" t="s">
        <v>1474</v>
      </c>
      <c r="E5" s="16" t="s">
        <v>1475</v>
      </c>
    </row>
    <row r="6" customFormat="false" ht="109.5" hidden="false" customHeight="true" outlineLevel="0" collapsed="false">
      <c r="A6" s="30" t="s">
        <v>1476</v>
      </c>
      <c r="B6" s="16" t="s">
        <v>1477</v>
      </c>
      <c r="C6" s="16" t="s">
        <v>1478</v>
      </c>
      <c r="D6" s="16" t="s">
        <v>1479</v>
      </c>
      <c r="E6" s="16" t="s">
        <v>1480</v>
      </c>
    </row>
    <row r="7" customFormat="false" ht="109.5" hidden="false" customHeight="true" outlineLevel="0" collapsed="false">
      <c r="A7" s="30" t="s">
        <v>1481</v>
      </c>
      <c r="B7" s="16" t="s">
        <v>1482</v>
      </c>
      <c r="C7" s="16" t="s">
        <v>1483</v>
      </c>
      <c r="D7" s="16" t="s">
        <v>1484</v>
      </c>
      <c r="E7" s="16" t="s">
        <v>1485</v>
      </c>
    </row>
    <row r="8" customFormat="false" ht="109.5" hidden="false" customHeight="true" outlineLevel="0" collapsed="false">
      <c r="A8" s="30" t="s">
        <v>1486</v>
      </c>
      <c r="B8" s="16" t="s">
        <v>1487</v>
      </c>
      <c r="C8" s="16" t="s">
        <v>1488</v>
      </c>
      <c r="D8" s="16" t="s">
        <v>1489</v>
      </c>
      <c r="E8" s="16" t="s">
        <v>1490</v>
      </c>
    </row>
    <row r="9" customFormat="false" ht="109.5" hidden="false" customHeight="true" outlineLevel="0" collapsed="false">
      <c r="A9" s="30" t="s">
        <v>1491</v>
      </c>
      <c r="B9" s="16" t="s">
        <v>1492</v>
      </c>
      <c r="C9" s="16" t="s">
        <v>1493</v>
      </c>
      <c r="D9" s="16" t="s">
        <v>1494</v>
      </c>
      <c r="E9" s="16" t="s">
        <v>1495</v>
      </c>
    </row>
    <row r="10" customFormat="false" ht="109.5" hidden="false" customHeight="true" outlineLevel="0" collapsed="false">
      <c r="A10" s="30" t="s">
        <v>1496</v>
      </c>
      <c r="B10" s="16" t="s">
        <v>1497</v>
      </c>
      <c r="C10" s="16" t="s">
        <v>1498</v>
      </c>
      <c r="D10" s="16" t="s">
        <v>1499</v>
      </c>
      <c r="E10" s="16" t="s">
        <v>1500</v>
      </c>
    </row>
    <row r="11" customFormat="false" ht="109.5" hidden="false" customHeight="true" outlineLevel="0" collapsed="false">
      <c r="A11" s="30" t="s">
        <v>1501</v>
      </c>
      <c r="B11" s="16" t="s">
        <v>1502</v>
      </c>
      <c r="C11" s="16" t="s">
        <v>1503</v>
      </c>
      <c r="D11" s="16" t="s">
        <v>1504</v>
      </c>
      <c r="E11" s="16" t="s">
        <v>1505</v>
      </c>
    </row>
    <row r="12" customFormat="false" ht="109.5" hidden="false" customHeight="true" outlineLevel="0" collapsed="false">
      <c r="A12" s="30" t="s">
        <v>1506</v>
      </c>
      <c r="B12" s="16" t="s">
        <v>1507</v>
      </c>
      <c r="C12" s="16" t="s">
        <v>1508</v>
      </c>
      <c r="D12" s="16" t="s">
        <v>1509</v>
      </c>
      <c r="E12" s="16" t="s">
        <v>1510</v>
      </c>
    </row>
    <row r="13" customFormat="false" ht="109.5" hidden="false" customHeight="true" outlineLevel="0" collapsed="false">
      <c r="A13" s="30" t="s">
        <v>1511</v>
      </c>
      <c r="B13" s="16" t="s">
        <v>1512</v>
      </c>
      <c r="C13" s="16" t="s">
        <v>1513</v>
      </c>
      <c r="D13" s="16" t="s">
        <v>1474</v>
      </c>
      <c r="E13" s="16" t="s">
        <v>1514</v>
      </c>
    </row>
    <row r="14" customFormat="false" ht="109.5" hidden="false" customHeight="true" outlineLevel="0" collapsed="false">
      <c r="A14" s="30" t="s">
        <v>1515</v>
      </c>
      <c r="B14" s="16" t="s">
        <v>1516</v>
      </c>
      <c r="C14" s="16" t="s">
        <v>1517</v>
      </c>
      <c r="D14" s="16" t="s">
        <v>1509</v>
      </c>
      <c r="E14" s="16" t="s">
        <v>1518</v>
      </c>
    </row>
    <row r="15" customFormat="false" ht="109.5" hidden="false" customHeight="true" outlineLevel="0" collapsed="false">
      <c r="A15" s="30" t="s">
        <v>1519</v>
      </c>
      <c r="B15" s="16" t="s">
        <v>1520</v>
      </c>
      <c r="C15" s="16" t="s">
        <v>1521</v>
      </c>
      <c r="D15" s="16" t="s">
        <v>1522</v>
      </c>
      <c r="E15" s="16" t="s">
        <v>1523</v>
      </c>
    </row>
    <row r="16" customFormat="false" ht="109.5" hidden="false" customHeight="true" outlineLevel="0" collapsed="false">
      <c r="A16" s="30" t="s">
        <v>1524</v>
      </c>
      <c r="B16" s="16" t="s">
        <v>1525</v>
      </c>
      <c r="C16" s="16" t="s">
        <v>1526</v>
      </c>
      <c r="D16" s="16" t="s">
        <v>1527</v>
      </c>
      <c r="E16" s="16" t="s">
        <v>1528</v>
      </c>
    </row>
    <row r="17" customFormat="false" ht="109.5" hidden="false" customHeight="true" outlineLevel="0" collapsed="false">
      <c r="A17" s="30" t="s">
        <v>1529</v>
      </c>
      <c r="B17" s="16" t="s">
        <v>1530</v>
      </c>
      <c r="C17" s="16" t="s">
        <v>1531</v>
      </c>
      <c r="D17" s="16" t="s">
        <v>1532</v>
      </c>
      <c r="E17" s="16" t="s">
        <v>1533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2026-04-14T10:16:21Z</dcterms:created>
  <dc:creator>openpyxl</dc:creator>
  <dc:description/>
  <dc:language>en-US</dc:language>
  <cp:lastModifiedBy/>
  <dcterms:modified xsi:type="dcterms:W3CDTF">2026-04-14T11:24:28Z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